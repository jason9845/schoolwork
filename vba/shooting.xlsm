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vbaProject.bin" ContentType="application/vnd.ms-office.vbaProject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2.xml" ContentType="application/vnd.openxmlformats-officedocument.drawing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docProps/core.xml" ContentType="application/vnd.openxmlformats-package.core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ushar\Downloads\"/>
    </mc:Choice>
  </mc:AlternateContent>
  <bookViews>
    <workbookView xWindow="0" yWindow="0" windowWidth="19200" windowHeight="8235"/>
  </bookViews>
  <sheets>
    <sheet name="Game" sheetId="1" r:id="rId1"/>
    <sheet name="Pictures" sheetId="2" r:id="rId2"/>
    <sheet name="Calculations" sheetId="3" r:id="rId3"/>
  </sheets>
  <definedNames>
    <definedName name="Angle">Game!$B$5</definedName>
    <definedName name="Speed">Game!$B$6</definedName>
  </definedNames>
  <calcPr calcId="152511"/>
</workbook>
</file>

<file path=xl/calcChain.xml><?xml version="1.0" encoding="utf-8"?>
<calcChain xmlns="http://schemas.openxmlformats.org/spreadsheetml/2006/main">
  <c r="C3" i="3" l="1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2" i="3"/>
</calcChain>
</file>

<file path=xl/sharedStrings.xml><?xml version="1.0" encoding="utf-8"?>
<sst xmlns="http://schemas.openxmlformats.org/spreadsheetml/2006/main" count="7" uniqueCount="7">
  <si>
    <t>Shooting Game</t>
    <phoneticPr fontId="0" type="noConversion"/>
  </si>
  <si>
    <t>To play the game enter the correct angle and speed values and then press Ctrl-Shift-S</t>
    <phoneticPr fontId="0" type="noConversion"/>
  </si>
  <si>
    <t>Angle:</t>
    <phoneticPr fontId="0" type="noConversion"/>
  </si>
  <si>
    <t>Speed:</t>
    <phoneticPr fontId="0" type="noConversion"/>
  </si>
  <si>
    <t>Time</t>
  </si>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</sst>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1"/>
      <color theme="1"/>
      <name val="Calibri"/>
      <family val="2"/>
      <charset val="136"/>
      <scheme val="minor"/>
    </font>
    <font>
      <sz val="18"/>
      <color theme="1"/>
      <name val="Calibri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1"/>
      <color rgb="FF33333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/>
    <xf numFmtId="0" fontId="2" fillId="0" borderId="1" xfId="0" applyFont="1" applyBorder="1"/>
    <xf numFmtId="0" fontId="3" fillId="2" borderId="2" xfId="0" applyFont="1" applyFill="1" applyBorder="1"/>
    <xf numFmtId="0" fontId="2" fillId="0" borderId="2" xfId="0" applyFont="1" applyFill="1" applyBorder="1" applyAlignment="1">
      <alignment horizontal="left"/>
    </xf>
    <xf numFmtId="0" fontId="0" fillId="0" borderId="1" xfId="0" applyBorder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254000</xdr:colOff>
      <xdr:row>11</xdr:row>
      <xdr:rowOff>100615</xdr:rowOff>
    </xdr:from>
    <xdr:to>
      <xdr:col>11</xdr:col>
      <xdr:colOff>215590</xdr:colOff>
      <xdr:row>14</xdr:row>
      <xdr:rowOff>148315</xdr:rowOff>
    </xdr:to>
    <xdr:grpSp>
      <xdr:nvGrpSpPr>
        <xdr:cNvPr id="2" name="Target"/>
        <xdr:cNvGrpSpPr>
          <a:grpSpLocks noChangeAspect="1"/>
        </xdr:cNvGrpSpPr>
      </xdr:nvGrpSpPr>
      <xdr:grpSpPr>
        <a:xfrm>
          <a:off x="6350000" y="2358040"/>
          <a:ext cx="571190" cy="619200"/>
          <a:chOff x="1580595" y="1666735"/>
          <a:chExt cx="572087" cy="648748"/>
        </a:xfrm>
      </xdr:grpSpPr>
      <xdr:sp macro="" textlink="">
        <xdr:nvSpPr>
          <xdr:cNvPr id="3" name="Freeform 2"/>
          <xdr:cNvSpPr/>
        </xdr:nvSpPr>
        <xdr:spPr>
          <a:xfrm rot="540000" flipH="1">
            <a:off x="1580595" y="1685785"/>
            <a:ext cx="181562" cy="284523"/>
          </a:xfrm>
          <a:custGeom>
            <a:avLst/>
            <a:gdLst>
              <a:gd name="connsiteX0" fmla="*/ 39005 w 181909"/>
              <a:gd name="connsiteY0" fmla="*/ 266714 h 284397"/>
              <a:gd name="connsiteX1" fmla="*/ 96155 w 181909"/>
              <a:gd name="connsiteY1" fmla="*/ 276239 h 284397"/>
              <a:gd name="connsiteX2" fmla="*/ 181880 w 181909"/>
              <a:gd name="connsiteY2" fmla="*/ 171464 h 284397"/>
              <a:gd name="connsiteX3" fmla="*/ 105680 w 181909"/>
              <a:gd name="connsiteY3" fmla="*/ 14 h 284397"/>
              <a:gd name="connsiteX4" fmla="*/ 96155 w 181909"/>
              <a:gd name="connsiteY4" fmla="*/ 161939 h 284397"/>
              <a:gd name="connsiteX5" fmla="*/ 905 w 181909"/>
              <a:gd name="connsiteY5" fmla="*/ 180989 h 284397"/>
              <a:gd name="connsiteX6" fmla="*/ 39005 w 181909"/>
              <a:gd name="connsiteY6" fmla="*/ 266714 h 284397"/>
              <a:gd name="connsiteX0" fmla="*/ 38656 w 181562"/>
              <a:gd name="connsiteY0" fmla="*/ 266840 h 284523"/>
              <a:gd name="connsiteX1" fmla="*/ 95806 w 181562"/>
              <a:gd name="connsiteY1" fmla="*/ 276365 h 284523"/>
              <a:gd name="connsiteX2" fmla="*/ 181531 w 181562"/>
              <a:gd name="connsiteY2" fmla="*/ 171590 h 284523"/>
              <a:gd name="connsiteX3" fmla="*/ 105331 w 181562"/>
              <a:gd name="connsiteY3" fmla="*/ 140 h 284523"/>
              <a:gd name="connsiteX4" fmla="*/ 67231 w 181562"/>
              <a:gd name="connsiteY4" fmla="*/ 143015 h 284523"/>
              <a:gd name="connsiteX5" fmla="*/ 556 w 181562"/>
              <a:gd name="connsiteY5" fmla="*/ 181115 h 284523"/>
              <a:gd name="connsiteX6" fmla="*/ 38656 w 181562"/>
              <a:gd name="connsiteY6" fmla="*/ 266840 h 2845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181562" h="284523">
                <a:moveTo>
                  <a:pt x="38656" y="266840"/>
                </a:moveTo>
                <a:cubicBezTo>
                  <a:pt x="54531" y="282715"/>
                  <a:pt x="71994" y="292240"/>
                  <a:pt x="95806" y="276365"/>
                </a:cubicBezTo>
                <a:cubicBezTo>
                  <a:pt x="119619" y="260490"/>
                  <a:pt x="179944" y="217627"/>
                  <a:pt x="181531" y="171590"/>
                </a:cubicBezTo>
                <a:cubicBezTo>
                  <a:pt x="183118" y="125553"/>
                  <a:pt x="124381" y="4902"/>
                  <a:pt x="105331" y="140"/>
                </a:cubicBezTo>
                <a:cubicBezTo>
                  <a:pt x="86281" y="-4622"/>
                  <a:pt x="84693" y="112853"/>
                  <a:pt x="67231" y="143015"/>
                </a:cubicBezTo>
                <a:cubicBezTo>
                  <a:pt x="49769" y="173177"/>
                  <a:pt x="5318" y="160478"/>
                  <a:pt x="556" y="181115"/>
                </a:cubicBezTo>
                <a:cubicBezTo>
                  <a:pt x="-4206" y="201752"/>
                  <a:pt x="22781" y="250965"/>
                  <a:pt x="38656" y="266840"/>
                </a:cubicBezTo>
                <a:close/>
              </a:path>
            </a:pathLst>
          </a:custGeom>
          <a:solidFill>
            <a:srgbClr val="FFFF00"/>
          </a:solidFill>
          <a:ln w="158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4" name="Freeform 3"/>
          <xdr:cNvSpPr/>
        </xdr:nvSpPr>
        <xdr:spPr>
          <a:xfrm>
            <a:off x="1971120" y="1666735"/>
            <a:ext cx="181562" cy="284523"/>
          </a:xfrm>
          <a:custGeom>
            <a:avLst/>
            <a:gdLst>
              <a:gd name="connsiteX0" fmla="*/ 39005 w 181909"/>
              <a:gd name="connsiteY0" fmla="*/ 266714 h 284397"/>
              <a:gd name="connsiteX1" fmla="*/ 96155 w 181909"/>
              <a:gd name="connsiteY1" fmla="*/ 276239 h 284397"/>
              <a:gd name="connsiteX2" fmla="*/ 181880 w 181909"/>
              <a:gd name="connsiteY2" fmla="*/ 171464 h 284397"/>
              <a:gd name="connsiteX3" fmla="*/ 105680 w 181909"/>
              <a:gd name="connsiteY3" fmla="*/ 14 h 284397"/>
              <a:gd name="connsiteX4" fmla="*/ 96155 w 181909"/>
              <a:gd name="connsiteY4" fmla="*/ 161939 h 284397"/>
              <a:gd name="connsiteX5" fmla="*/ 905 w 181909"/>
              <a:gd name="connsiteY5" fmla="*/ 180989 h 284397"/>
              <a:gd name="connsiteX6" fmla="*/ 39005 w 181909"/>
              <a:gd name="connsiteY6" fmla="*/ 266714 h 284397"/>
              <a:gd name="connsiteX0" fmla="*/ 38656 w 181562"/>
              <a:gd name="connsiteY0" fmla="*/ 266840 h 284523"/>
              <a:gd name="connsiteX1" fmla="*/ 95806 w 181562"/>
              <a:gd name="connsiteY1" fmla="*/ 276365 h 284523"/>
              <a:gd name="connsiteX2" fmla="*/ 181531 w 181562"/>
              <a:gd name="connsiteY2" fmla="*/ 171590 h 284523"/>
              <a:gd name="connsiteX3" fmla="*/ 105331 w 181562"/>
              <a:gd name="connsiteY3" fmla="*/ 140 h 284523"/>
              <a:gd name="connsiteX4" fmla="*/ 67231 w 181562"/>
              <a:gd name="connsiteY4" fmla="*/ 143015 h 284523"/>
              <a:gd name="connsiteX5" fmla="*/ 556 w 181562"/>
              <a:gd name="connsiteY5" fmla="*/ 181115 h 284523"/>
              <a:gd name="connsiteX6" fmla="*/ 38656 w 181562"/>
              <a:gd name="connsiteY6" fmla="*/ 266840 h 2845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181562" h="284523">
                <a:moveTo>
                  <a:pt x="38656" y="266840"/>
                </a:moveTo>
                <a:cubicBezTo>
                  <a:pt x="54531" y="282715"/>
                  <a:pt x="71994" y="292240"/>
                  <a:pt x="95806" y="276365"/>
                </a:cubicBezTo>
                <a:cubicBezTo>
                  <a:pt x="119619" y="260490"/>
                  <a:pt x="179944" y="217627"/>
                  <a:pt x="181531" y="171590"/>
                </a:cubicBezTo>
                <a:cubicBezTo>
                  <a:pt x="183118" y="125553"/>
                  <a:pt x="124381" y="4902"/>
                  <a:pt x="105331" y="140"/>
                </a:cubicBezTo>
                <a:cubicBezTo>
                  <a:pt x="86281" y="-4622"/>
                  <a:pt x="84693" y="112853"/>
                  <a:pt x="67231" y="143015"/>
                </a:cubicBezTo>
                <a:cubicBezTo>
                  <a:pt x="49769" y="173177"/>
                  <a:pt x="5318" y="160478"/>
                  <a:pt x="556" y="181115"/>
                </a:cubicBezTo>
                <a:cubicBezTo>
                  <a:pt x="-4206" y="201752"/>
                  <a:pt x="22781" y="250965"/>
                  <a:pt x="38656" y="266840"/>
                </a:cubicBezTo>
                <a:close/>
              </a:path>
            </a:pathLst>
          </a:custGeom>
          <a:solidFill>
            <a:srgbClr val="FFFF00"/>
          </a:solidFill>
          <a:ln w="158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5" name="Freeform 4"/>
          <xdr:cNvSpPr/>
        </xdr:nvSpPr>
        <xdr:spPr>
          <a:xfrm>
            <a:off x="1656690" y="1821343"/>
            <a:ext cx="426432" cy="395500"/>
          </a:xfrm>
          <a:custGeom>
            <a:avLst/>
            <a:gdLst>
              <a:gd name="connsiteX0" fmla="*/ 26471 w 423668"/>
              <a:gd name="connsiteY0" fmla="*/ 359882 h 531332"/>
              <a:gd name="connsiteX1" fmla="*/ 35996 w 423668"/>
              <a:gd name="connsiteY1" fmla="*/ 45557 h 531332"/>
              <a:gd name="connsiteX2" fmla="*/ 378896 w 423668"/>
              <a:gd name="connsiteY2" fmla="*/ 36032 h 531332"/>
              <a:gd name="connsiteX3" fmla="*/ 397946 w 423668"/>
              <a:gd name="connsiteY3" fmla="*/ 369407 h 531332"/>
              <a:gd name="connsiteX4" fmla="*/ 178871 w 423668"/>
              <a:gd name="connsiteY4" fmla="*/ 531332 h 531332"/>
              <a:gd name="connsiteX5" fmla="*/ 26471 w 423668"/>
              <a:gd name="connsiteY5" fmla="*/ 359882 h 531332"/>
              <a:gd name="connsiteX0" fmla="*/ 29235 w 426432"/>
              <a:gd name="connsiteY0" fmla="*/ 359882 h 550382"/>
              <a:gd name="connsiteX1" fmla="*/ 38760 w 426432"/>
              <a:gd name="connsiteY1" fmla="*/ 45557 h 550382"/>
              <a:gd name="connsiteX2" fmla="*/ 381660 w 426432"/>
              <a:gd name="connsiteY2" fmla="*/ 36032 h 550382"/>
              <a:gd name="connsiteX3" fmla="*/ 400710 w 426432"/>
              <a:gd name="connsiteY3" fmla="*/ 369407 h 550382"/>
              <a:gd name="connsiteX4" fmla="*/ 229260 w 426432"/>
              <a:gd name="connsiteY4" fmla="*/ 550382 h 550382"/>
              <a:gd name="connsiteX5" fmla="*/ 29235 w 426432"/>
              <a:gd name="connsiteY5" fmla="*/ 359882 h 550382"/>
              <a:gd name="connsiteX0" fmla="*/ 29235 w 426432"/>
              <a:gd name="connsiteY0" fmla="*/ 359882 h 550382"/>
              <a:gd name="connsiteX1" fmla="*/ 38760 w 426432"/>
              <a:gd name="connsiteY1" fmla="*/ 45557 h 550382"/>
              <a:gd name="connsiteX2" fmla="*/ 381660 w 426432"/>
              <a:gd name="connsiteY2" fmla="*/ 36032 h 550382"/>
              <a:gd name="connsiteX3" fmla="*/ 400710 w 426432"/>
              <a:gd name="connsiteY3" fmla="*/ 369407 h 550382"/>
              <a:gd name="connsiteX4" fmla="*/ 229260 w 426432"/>
              <a:gd name="connsiteY4" fmla="*/ 550382 h 550382"/>
              <a:gd name="connsiteX5" fmla="*/ 29235 w 426432"/>
              <a:gd name="connsiteY5" fmla="*/ 359882 h 550382"/>
              <a:gd name="connsiteX0" fmla="*/ 29235 w 426432"/>
              <a:gd name="connsiteY0" fmla="*/ 359882 h 395500"/>
              <a:gd name="connsiteX1" fmla="*/ 38760 w 426432"/>
              <a:gd name="connsiteY1" fmla="*/ 45557 h 395500"/>
              <a:gd name="connsiteX2" fmla="*/ 381660 w 426432"/>
              <a:gd name="connsiteY2" fmla="*/ 36032 h 395500"/>
              <a:gd name="connsiteX3" fmla="*/ 400710 w 426432"/>
              <a:gd name="connsiteY3" fmla="*/ 369407 h 395500"/>
              <a:gd name="connsiteX4" fmla="*/ 229260 w 426432"/>
              <a:gd name="connsiteY4" fmla="*/ 312257 h 395500"/>
              <a:gd name="connsiteX5" fmla="*/ 29235 w 426432"/>
              <a:gd name="connsiteY5" fmla="*/ 359882 h 3955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426432" h="395500">
                <a:moveTo>
                  <a:pt x="29235" y="359882"/>
                </a:moveTo>
                <a:cubicBezTo>
                  <a:pt x="-2515" y="315432"/>
                  <a:pt x="-19978" y="99532"/>
                  <a:pt x="38760" y="45557"/>
                </a:cubicBezTo>
                <a:cubicBezTo>
                  <a:pt x="97498" y="-8418"/>
                  <a:pt x="321335" y="-17943"/>
                  <a:pt x="381660" y="36032"/>
                </a:cubicBezTo>
                <a:cubicBezTo>
                  <a:pt x="441985" y="90007"/>
                  <a:pt x="434047" y="286857"/>
                  <a:pt x="400710" y="369407"/>
                </a:cubicBezTo>
                <a:cubicBezTo>
                  <a:pt x="367373" y="451957"/>
                  <a:pt x="338797" y="312257"/>
                  <a:pt x="229260" y="312257"/>
                </a:cubicBezTo>
                <a:cubicBezTo>
                  <a:pt x="119723" y="312257"/>
                  <a:pt x="60985" y="404332"/>
                  <a:pt x="29235" y="359882"/>
                </a:cubicBezTo>
                <a:close/>
              </a:path>
            </a:pathLst>
          </a:custGeom>
          <a:solidFill>
            <a:schemeClr val="bg1"/>
          </a:solidFill>
          <a:ln w="158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6" name="Freeform 5"/>
          <xdr:cNvSpPr/>
        </xdr:nvSpPr>
        <xdr:spPr>
          <a:xfrm>
            <a:off x="1695434" y="2085854"/>
            <a:ext cx="361967" cy="229629"/>
          </a:xfrm>
          <a:custGeom>
            <a:avLst/>
            <a:gdLst>
              <a:gd name="connsiteX0" fmla="*/ 14 w 361982"/>
              <a:gd name="connsiteY0" fmla="*/ 104775 h 285750"/>
              <a:gd name="connsiteX1" fmla="*/ 190514 w 361982"/>
              <a:gd name="connsiteY1" fmla="*/ 0 h 285750"/>
              <a:gd name="connsiteX2" fmla="*/ 361964 w 361982"/>
              <a:gd name="connsiteY2" fmla="*/ 104775 h 285750"/>
              <a:gd name="connsiteX3" fmla="*/ 200039 w 361982"/>
              <a:gd name="connsiteY3" fmla="*/ 285750 h 285750"/>
              <a:gd name="connsiteX4" fmla="*/ 14 w 361982"/>
              <a:gd name="connsiteY4" fmla="*/ 104775 h 285750"/>
              <a:gd name="connsiteX0" fmla="*/ 14 w 362003"/>
              <a:gd name="connsiteY0" fmla="*/ 104775 h 285750"/>
              <a:gd name="connsiteX1" fmla="*/ 190514 w 362003"/>
              <a:gd name="connsiteY1" fmla="*/ 0 h 285750"/>
              <a:gd name="connsiteX2" fmla="*/ 361964 w 362003"/>
              <a:gd name="connsiteY2" fmla="*/ 104775 h 285750"/>
              <a:gd name="connsiteX3" fmla="*/ 200039 w 362003"/>
              <a:gd name="connsiteY3" fmla="*/ 285750 h 285750"/>
              <a:gd name="connsiteX4" fmla="*/ 14 w 362003"/>
              <a:gd name="connsiteY4" fmla="*/ 104775 h 285750"/>
              <a:gd name="connsiteX0" fmla="*/ 14 w 371505"/>
              <a:gd name="connsiteY0" fmla="*/ 105033 h 286158"/>
              <a:gd name="connsiteX1" fmla="*/ 190514 w 371505"/>
              <a:gd name="connsiteY1" fmla="*/ 258 h 286158"/>
              <a:gd name="connsiteX2" fmla="*/ 371489 w 371505"/>
              <a:gd name="connsiteY2" fmla="*/ 133608 h 286158"/>
              <a:gd name="connsiteX3" fmla="*/ 200039 w 371505"/>
              <a:gd name="connsiteY3" fmla="*/ 286008 h 286158"/>
              <a:gd name="connsiteX4" fmla="*/ 14 w 371505"/>
              <a:gd name="connsiteY4" fmla="*/ 105033 h 286158"/>
              <a:gd name="connsiteX0" fmla="*/ 17 w 352458"/>
              <a:gd name="connsiteY0" fmla="*/ 123849 h 285791"/>
              <a:gd name="connsiteX1" fmla="*/ 171467 w 352458"/>
              <a:gd name="connsiteY1" fmla="*/ 24 h 285791"/>
              <a:gd name="connsiteX2" fmla="*/ 352442 w 352458"/>
              <a:gd name="connsiteY2" fmla="*/ 133374 h 285791"/>
              <a:gd name="connsiteX3" fmla="*/ 180992 w 352458"/>
              <a:gd name="connsiteY3" fmla="*/ 285774 h 285791"/>
              <a:gd name="connsiteX4" fmla="*/ 17 w 352458"/>
              <a:gd name="connsiteY4" fmla="*/ 123849 h 285791"/>
              <a:gd name="connsiteX0" fmla="*/ 24 w 352465"/>
              <a:gd name="connsiteY0" fmla="*/ 123849 h 285791"/>
              <a:gd name="connsiteX1" fmla="*/ 171474 w 352465"/>
              <a:gd name="connsiteY1" fmla="*/ 24 h 285791"/>
              <a:gd name="connsiteX2" fmla="*/ 352449 w 352465"/>
              <a:gd name="connsiteY2" fmla="*/ 133374 h 285791"/>
              <a:gd name="connsiteX3" fmla="*/ 180999 w 352465"/>
              <a:gd name="connsiteY3" fmla="*/ 285774 h 285791"/>
              <a:gd name="connsiteX4" fmla="*/ 24 w 352465"/>
              <a:gd name="connsiteY4" fmla="*/ 123849 h 285791"/>
              <a:gd name="connsiteX0" fmla="*/ 24 w 352465"/>
              <a:gd name="connsiteY0" fmla="*/ 123849 h 285791"/>
              <a:gd name="connsiteX1" fmla="*/ 171474 w 352465"/>
              <a:gd name="connsiteY1" fmla="*/ 24 h 285791"/>
              <a:gd name="connsiteX2" fmla="*/ 352449 w 352465"/>
              <a:gd name="connsiteY2" fmla="*/ 133374 h 285791"/>
              <a:gd name="connsiteX3" fmla="*/ 180999 w 352465"/>
              <a:gd name="connsiteY3" fmla="*/ 285774 h 285791"/>
              <a:gd name="connsiteX4" fmla="*/ 24 w 352465"/>
              <a:gd name="connsiteY4" fmla="*/ 123849 h 285791"/>
              <a:gd name="connsiteX0" fmla="*/ 24 w 352449"/>
              <a:gd name="connsiteY0" fmla="*/ 123849 h 285791"/>
              <a:gd name="connsiteX1" fmla="*/ 171474 w 352449"/>
              <a:gd name="connsiteY1" fmla="*/ 24 h 285791"/>
              <a:gd name="connsiteX2" fmla="*/ 352449 w 352449"/>
              <a:gd name="connsiteY2" fmla="*/ 133374 h 285791"/>
              <a:gd name="connsiteX3" fmla="*/ 180999 w 352449"/>
              <a:gd name="connsiteY3" fmla="*/ 285774 h 285791"/>
              <a:gd name="connsiteX4" fmla="*/ 24 w 352449"/>
              <a:gd name="connsiteY4" fmla="*/ 123849 h 285791"/>
              <a:gd name="connsiteX0" fmla="*/ 17 w 361967"/>
              <a:gd name="connsiteY0" fmla="*/ 123945 h 285933"/>
              <a:gd name="connsiteX1" fmla="*/ 171467 w 361967"/>
              <a:gd name="connsiteY1" fmla="*/ 120 h 285933"/>
              <a:gd name="connsiteX2" fmla="*/ 361967 w 361967"/>
              <a:gd name="connsiteY2" fmla="*/ 104895 h 285933"/>
              <a:gd name="connsiteX3" fmla="*/ 180992 w 361967"/>
              <a:gd name="connsiteY3" fmla="*/ 285870 h 285933"/>
              <a:gd name="connsiteX4" fmla="*/ 17 w 361967"/>
              <a:gd name="connsiteY4" fmla="*/ 123945 h 285933"/>
              <a:gd name="connsiteX0" fmla="*/ 17 w 361967"/>
              <a:gd name="connsiteY0" fmla="*/ 123945 h 285933"/>
              <a:gd name="connsiteX1" fmla="*/ 171467 w 361967"/>
              <a:gd name="connsiteY1" fmla="*/ 120 h 285933"/>
              <a:gd name="connsiteX2" fmla="*/ 361967 w 361967"/>
              <a:gd name="connsiteY2" fmla="*/ 104895 h 285933"/>
              <a:gd name="connsiteX3" fmla="*/ 180992 w 361967"/>
              <a:gd name="connsiteY3" fmla="*/ 285870 h 285933"/>
              <a:gd name="connsiteX4" fmla="*/ 17 w 361967"/>
              <a:gd name="connsiteY4" fmla="*/ 123945 h 285933"/>
              <a:gd name="connsiteX0" fmla="*/ 17 w 361967"/>
              <a:gd name="connsiteY0" fmla="*/ 123945 h 228824"/>
              <a:gd name="connsiteX1" fmla="*/ 171467 w 361967"/>
              <a:gd name="connsiteY1" fmla="*/ 120 h 228824"/>
              <a:gd name="connsiteX2" fmla="*/ 361967 w 361967"/>
              <a:gd name="connsiteY2" fmla="*/ 104895 h 228824"/>
              <a:gd name="connsiteX3" fmla="*/ 180992 w 361967"/>
              <a:gd name="connsiteY3" fmla="*/ 228720 h 228824"/>
              <a:gd name="connsiteX4" fmla="*/ 17 w 361967"/>
              <a:gd name="connsiteY4" fmla="*/ 123945 h 228824"/>
              <a:gd name="connsiteX0" fmla="*/ 17 w 361967"/>
              <a:gd name="connsiteY0" fmla="*/ 123945 h 229629"/>
              <a:gd name="connsiteX1" fmla="*/ 171467 w 361967"/>
              <a:gd name="connsiteY1" fmla="*/ 120 h 229629"/>
              <a:gd name="connsiteX2" fmla="*/ 361967 w 361967"/>
              <a:gd name="connsiteY2" fmla="*/ 104895 h 229629"/>
              <a:gd name="connsiteX3" fmla="*/ 180992 w 361967"/>
              <a:gd name="connsiteY3" fmla="*/ 228720 h 229629"/>
              <a:gd name="connsiteX4" fmla="*/ 17 w 361967"/>
              <a:gd name="connsiteY4" fmla="*/ 123945 h 22962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361967" h="229629">
                <a:moveTo>
                  <a:pt x="17" y="123945"/>
                </a:moveTo>
                <a:cubicBezTo>
                  <a:pt x="-1571" y="85845"/>
                  <a:pt x="111142" y="3295"/>
                  <a:pt x="171467" y="120"/>
                </a:cubicBezTo>
                <a:cubicBezTo>
                  <a:pt x="231792" y="-3055"/>
                  <a:pt x="360380" y="57270"/>
                  <a:pt x="361967" y="104895"/>
                </a:cubicBezTo>
                <a:cubicBezTo>
                  <a:pt x="325454" y="209670"/>
                  <a:pt x="288942" y="235070"/>
                  <a:pt x="180992" y="228720"/>
                </a:cubicBezTo>
                <a:cubicBezTo>
                  <a:pt x="73042" y="222370"/>
                  <a:pt x="1605" y="162045"/>
                  <a:pt x="17" y="123945"/>
                </a:cubicBezTo>
                <a:close/>
              </a:path>
            </a:pathLst>
          </a:custGeom>
          <a:solidFill>
            <a:schemeClr val="accent6">
              <a:lumMod val="20000"/>
              <a:lumOff val="80000"/>
            </a:schemeClr>
          </a:solidFill>
          <a:ln w="158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7" name="Oval 6"/>
          <xdr:cNvSpPr/>
        </xdr:nvSpPr>
        <xdr:spPr>
          <a:xfrm rot="-600000">
            <a:off x="1790701" y="2133600"/>
            <a:ext cx="57150" cy="95250"/>
          </a:xfrm>
          <a:prstGeom prst="ellipse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8" name="Oval 7"/>
          <xdr:cNvSpPr/>
        </xdr:nvSpPr>
        <xdr:spPr>
          <a:xfrm rot="600000">
            <a:off x="1895476" y="2133600"/>
            <a:ext cx="57150" cy="95250"/>
          </a:xfrm>
          <a:prstGeom prst="ellipse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grpSp>
        <xdr:nvGrpSpPr>
          <xdr:cNvPr id="9" name="Group 8"/>
          <xdr:cNvGrpSpPr/>
        </xdr:nvGrpSpPr>
        <xdr:grpSpPr>
          <a:xfrm>
            <a:off x="1704938" y="1885948"/>
            <a:ext cx="333412" cy="180977"/>
            <a:chOff x="1533488" y="1552573"/>
            <a:chExt cx="361988" cy="219077"/>
          </a:xfrm>
        </xdr:grpSpPr>
        <xdr:sp macro="" textlink="">
          <xdr:nvSpPr>
            <xdr:cNvPr id="10" name="Oval 39"/>
            <xdr:cNvSpPr/>
          </xdr:nvSpPr>
          <xdr:spPr>
            <a:xfrm rot="-300000">
              <a:off x="1533488" y="1552574"/>
              <a:ext cx="152437" cy="219076"/>
            </a:xfrm>
            <a:custGeom>
              <a:avLst/>
              <a:gdLst>
                <a:gd name="connsiteX0" fmla="*/ 0 w 171450"/>
                <a:gd name="connsiteY0" fmla="*/ 100013 h 200025"/>
                <a:gd name="connsiteX1" fmla="*/ 85725 w 171450"/>
                <a:gd name="connsiteY1" fmla="*/ 0 h 200025"/>
                <a:gd name="connsiteX2" fmla="*/ 171450 w 171450"/>
                <a:gd name="connsiteY2" fmla="*/ 100013 h 200025"/>
                <a:gd name="connsiteX3" fmla="*/ 85725 w 171450"/>
                <a:gd name="connsiteY3" fmla="*/ 200026 h 200025"/>
                <a:gd name="connsiteX4" fmla="*/ 0 w 171450"/>
                <a:gd name="connsiteY4" fmla="*/ 100013 h 200025"/>
                <a:gd name="connsiteX0" fmla="*/ 0 w 161925"/>
                <a:gd name="connsiteY0" fmla="*/ 100667 h 200997"/>
                <a:gd name="connsiteX1" fmla="*/ 85725 w 161925"/>
                <a:gd name="connsiteY1" fmla="*/ 654 h 200997"/>
                <a:gd name="connsiteX2" fmla="*/ 161925 w 161925"/>
                <a:gd name="connsiteY2" fmla="*/ 72092 h 200997"/>
                <a:gd name="connsiteX3" fmla="*/ 85725 w 161925"/>
                <a:gd name="connsiteY3" fmla="*/ 200680 h 200997"/>
                <a:gd name="connsiteX4" fmla="*/ 0 w 161925"/>
                <a:gd name="connsiteY4" fmla="*/ 100667 h 200997"/>
                <a:gd name="connsiteX0" fmla="*/ 0 w 161925"/>
                <a:gd name="connsiteY0" fmla="*/ 71438 h 200026"/>
                <a:gd name="connsiteX1" fmla="*/ 85725 w 161925"/>
                <a:gd name="connsiteY1" fmla="*/ 0 h 200026"/>
                <a:gd name="connsiteX2" fmla="*/ 161925 w 161925"/>
                <a:gd name="connsiteY2" fmla="*/ 71438 h 200026"/>
                <a:gd name="connsiteX3" fmla="*/ 85725 w 161925"/>
                <a:gd name="connsiteY3" fmla="*/ 200026 h 200026"/>
                <a:gd name="connsiteX4" fmla="*/ 0 w 161925"/>
                <a:gd name="connsiteY4" fmla="*/ 71438 h 200026"/>
                <a:gd name="connsiteX0" fmla="*/ 36 w 161961"/>
                <a:gd name="connsiteY0" fmla="*/ 71438 h 161926"/>
                <a:gd name="connsiteX1" fmla="*/ 85761 w 161961"/>
                <a:gd name="connsiteY1" fmla="*/ 0 h 161926"/>
                <a:gd name="connsiteX2" fmla="*/ 161961 w 161961"/>
                <a:gd name="connsiteY2" fmla="*/ 71438 h 161926"/>
                <a:gd name="connsiteX3" fmla="*/ 76236 w 161961"/>
                <a:gd name="connsiteY3" fmla="*/ 161926 h 161926"/>
                <a:gd name="connsiteX4" fmla="*/ 36 w 161961"/>
                <a:gd name="connsiteY4" fmla="*/ 71438 h 16192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61961" h="161926">
                  <a:moveTo>
                    <a:pt x="36" y="71438"/>
                  </a:moveTo>
                  <a:cubicBezTo>
                    <a:pt x="1623" y="44450"/>
                    <a:pt x="58774" y="0"/>
                    <a:pt x="85761" y="0"/>
                  </a:cubicBezTo>
                  <a:cubicBezTo>
                    <a:pt x="112748" y="0"/>
                    <a:pt x="161961" y="16202"/>
                    <a:pt x="161961" y="71438"/>
                  </a:cubicBezTo>
                  <a:cubicBezTo>
                    <a:pt x="161961" y="126674"/>
                    <a:pt x="103223" y="161926"/>
                    <a:pt x="76236" y="161926"/>
                  </a:cubicBezTo>
                  <a:cubicBezTo>
                    <a:pt x="49249" y="161926"/>
                    <a:pt x="-1551" y="98426"/>
                    <a:pt x="36" y="71438"/>
                  </a:cubicBezTo>
                  <a:close/>
                </a:path>
              </a:pathLst>
            </a:custGeom>
            <a:solidFill>
              <a:schemeClr val="bg1"/>
            </a:solidFill>
            <a:ln w="158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  <xdr:sp macro="" textlink="">
          <xdr:nvSpPr>
            <xdr:cNvPr id="11" name="Oval 39"/>
            <xdr:cNvSpPr/>
          </xdr:nvSpPr>
          <xdr:spPr>
            <a:xfrm rot="420000" flipH="1">
              <a:off x="1743039" y="1552573"/>
              <a:ext cx="152437" cy="219076"/>
            </a:xfrm>
            <a:custGeom>
              <a:avLst/>
              <a:gdLst>
                <a:gd name="connsiteX0" fmla="*/ 0 w 171450"/>
                <a:gd name="connsiteY0" fmla="*/ 100013 h 200025"/>
                <a:gd name="connsiteX1" fmla="*/ 85725 w 171450"/>
                <a:gd name="connsiteY1" fmla="*/ 0 h 200025"/>
                <a:gd name="connsiteX2" fmla="*/ 171450 w 171450"/>
                <a:gd name="connsiteY2" fmla="*/ 100013 h 200025"/>
                <a:gd name="connsiteX3" fmla="*/ 85725 w 171450"/>
                <a:gd name="connsiteY3" fmla="*/ 200026 h 200025"/>
                <a:gd name="connsiteX4" fmla="*/ 0 w 171450"/>
                <a:gd name="connsiteY4" fmla="*/ 100013 h 200025"/>
                <a:gd name="connsiteX0" fmla="*/ 0 w 161925"/>
                <a:gd name="connsiteY0" fmla="*/ 100667 h 200997"/>
                <a:gd name="connsiteX1" fmla="*/ 85725 w 161925"/>
                <a:gd name="connsiteY1" fmla="*/ 654 h 200997"/>
                <a:gd name="connsiteX2" fmla="*/ 161925 w 161925"/>
                <a:gd name="connsiteY2" fmla="*/ 72092 h 200997"/>
                <a:gd name="connsiteX3" fmla="*/ 85725 w 161925"/>
                <a:gd name="connsiteY3" fmla="*/ 200680 h 200997"/>
                <a:gd name="connsiteX4" fmla="*/ 0 w 161925"/>
                <a:gd name="connsiteY4" fmla="*/ 100667 h 200997"/>
                <a:gd name="connsiteX0" fmla="*/ 0 w 161925"/>
                <a:gd name="connsiteY0" fmla="*/ 71438 h 200026"/>
                <a:gd name="connsiteX1" fmla="*/ 85725 w 161925"/>
                <a:gd name="connsiteY1" fmla="*/ 0 h 200026"/>
                <a:gd name="connsiteX2" fmla="*/ 161925 w 161925"/>
                <a:gd name="connsiteY2" fmla="*/ 71438 h 200026"/>
                <a:gd name="connsiteX3" fmla="*/ 85725 w 161925"/>
                <a:gd name="connsiteY3" fmla="*/ 200026 h 200026"/>
                <a:gd name="connsiteX4" fmla="*/ 0 w 161925"/>
                <a:gd name="connsiteY4" fmla="*/ 71438 h 200026"/>
                <a:gd name="connsiteX0" fmla="*/ 36 w 161961"/>
                <a:gd name="connsiteY0" fmla="*/ 71438 h 161926"/>
                <a:gd name="connsiteX1" fmla="*/ 85761 w 161961"/>
                <a:gd name="connsiteY1" fmla="*/ 0 h 161926"/>
                <a:gd name="connsiteX2" fmla="*/ 161961 w 161961"/>
                <a:gd name="connsiteY2" fmla="*/ 71438 h 161926"/>
                <a:gd name="connsiteX3" fmla="*/ 76236 w 161961"/>
                <a:gd name="connsiteY3" fmla="*/ 161926 h 161926"/>
                <a:gd name="connsiteX4" fmla="*/ 36 w 161961"/>
                <a:gd name="connsiteY4" fmla="*/ 71438 h 16192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61961" h="161926">
                  <a:moveTo>
                    <a:pt x="36" y="71438"/>
                  </a:moveTo>
                  <a:cubicBezTo>
                    <a:pt x="1623" y="44450"/>
                    <a:pt x="58774" y="0"/>
                    <a:pt x="85761" y="0"/>
                  </a:cubicBezTo>
                  <a:cubicBezTo>
                    <a:pt x="112748" y="0"/>
                    <a:pt x="161961" y="16202"/>
                    <a:pt x="161961" y="71438"/>
                  </a:cubicBezTo>
                  <a:cubicBezTo>
                    <a:pt x="161961" y="126674"/>
                    <a:pt x="103223" y="161926"/>
                    <a:pt x="76236" y="161926"/>
                  </a:cubicBezTo>
                  <a:cubicBezTo>
                    <a:pt x="49249" y="161926"/>
                    <a:pt x="-1551" y="98426"/>
                    <a:pt x="36" y="71438"/>
                  </a:cubicBezTo>
                  <a:close/>
                </a:path>
              </a:pathLst>
            </a:custGeom>
            <a:solidFill>
              <a:schemeClr val="bg1"/>
            </a:solidFill>
            <a:ln w="158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  <xdr:sp macro="" textlink="">
          <xdr:nvSpPr>
            <xdr:cNvPr id="12" name="Oval 11"/>
            <xdr:cNvSpPr/>
          </xdr:nvSpPr>
          <xdr:spPr>
            <a:xfrm>
              <a:off x="1800225" y="1619250"/>
              <a:ext cx="76200" cy="76200"/>
            </a:xfrm>
            <a:prstGeom prst="ellipse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  <xdr:sp macro="" textlink="">
          <xdr:nvSpPr>
            <xdr:cNvPr id="13" name="Oval 12"/>
            <xdr:cNvSpPr/>
          </xdr:nvSpPr>
          <xdr:spPr>
            <a:xfrm>
              <a:off x="1562100" y="1609725"/>
              <a:ext cx="76200" cy="76200"/>
            </a:xfrm>
            <a:prstGeom prst="ellipse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115889</xdr:colOff>
      <xdr:row>1</xdr:row>
      <xdr:rowOff>133350</xdr:rowOff>
    </xdr:from>
    <xdr:to>
      <xdr:col>3</xdr:col>
      <xdr:colOff>77479</xdr:colOff>
      <xdr:row>4</xdr:row>
      <xdr:rowOff>181050</xdr:rowOff>
    </xdr:to>
    <xdr:grpSp>
      <xdr:nvGrpSpPr>
        <xdr:cNvPr id="2" name="Target"/>
        <xdr:cNvGrpSpPr>
          <a:grpSpLocks noChangeAspect="1"/>
        </xdr:cNvGrpSpPr>
      </xdr:nvGrpSpPr>
      <xdr:grpSpPr>
        <a:xfrm>
          <a:off x="1335089" y="323850"/>
          <a:ext cx="571190" cy="619200"/>
          <a:chOff x="1580595" y="1666735"/>
          <a:chExt cx="572087" cy="648748"/>
        </a:xfrm>
      </xdr:grpSpPr>
      <xdr:sp macro="" textlink="">
        <xdr:nvSpPr>
          <xdr:cNvPr id="3" name="Freeform 2"/>
          <xdr:cNvSpPr/>
        </xdr:nvSpPr>
        <xdr:spPr>
          <a:xfrm rot="540000" flipH="1">
            <a:off x="1580595" y="1685785"/>
            <a:ext cx="181562" cy="284523"/>
          </a:xfrm>
          <a:custGeom>
            <a:avLst/>
            <a:gdLst>
              <a:gd name="connsiteX0" fmla="*/ 39005 w 181909"/>
              <a:gd name="connsiteY0" fmla="*/ 266714 h 284397"/>
              <a:gd name="connsiteX1" fmla="*/ 96155 w 181909"/>
              <a:gd name="connsiteY1" fmla="*/ 276239 h 284397"/>
              <a:gd name="connsiteX2" fmla="*/ 181880 w 181909"/>
              <a:gd name="connsiteY2" fmla="*/ 171464 h 284397"/>
              <a:gd name="connsiteX3" fmla="*/ 105680 w 181909"/>
              <a:gd name="connsiteY3" fmla="*/ 14 h 284397"/>
              <a:gd name="connsiteX4" fmla="*/ 96155 w 181909"/>
              <a:gd name="connsiteY4" fmla="*/ 161939 h 284397"/>
              <a:gd name="connsiteX5" fmla="*/ 905 w 181909"/>
              <a:gd name="connsiteY5" fmla="*/ 180989 h 284397"/>
              <a:gd name="connsiteX6" fmla="*/ 39005 w 181909"/>
              <a:gd name="connsiteY6" fmla="*/ 266714 h 284397"/>
              <a:gd name="connsiteX0" fmla="*/ 38656 w 181562"/>
              <a:gd name="connsiteY0" fmla="*/ 266840 h 284523"/>
              <a:gd name="connsiteX1" fmla="*/ 95806 w 181562"/>
              <a:gd name="connsiteY1" fmla="*/ 276365 h 284523"/>
              <a:gd name="connsiteX2" fmla="*/ 181531 w 181562"/>
              <a:gd name="connsiteY2" fmla="*/ 171590 h 284523"/>
              <a:gd name="connsiteX3" fmla="*/ 105331 w 181562"/>
              <a:gd name="connsiteY3" fmla="*/ 140 h 284523"/>
              <a:gd name="connsiteX4" fmla="*/ 67231 w 181562"/>
              <a:gd name="connsiteY4" fmla="*/ 143015 h 284523"/>
              <a:gd name="connsiteX5" fmla="*/ 556 w 181562"/>
              <a:gd name="connsiteY5" fmla="*/ 181115 h 284523"/>
              <a:gd name="connsiteX6" fmla="*/ 38656 w 181562"/>
              <a:gd name="connsiteY6" fmla="*/ 266840 h 2845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181562" h="284523">
                <a:moveTo>
                  <a:pt x="38656" y="266840"/>
                </a:moveTo>
                <a:cubicBezTo>
                  <a:pt x="54531" y="282715"/>
                  <a:pt x="71994" y="292240"/>
                  <a:pt x="95806" y="276365"/>
                </a:cubicBezTo>
                <a:cubicBezTo>
                  <a:pt x="119619" y="260490"/>
                  <a:pt x="179944" y="217627"/>
                  <a:pt x="181531" y="171590"/>
                </a:cubicBezTo>
                <a:cubicBezTo>
                  <a:pt x="183118" y="125553"/>
                  <a:pt x="124381" y="4902"/>
                  <a:pt x="105331" y="140"/>
                </a:cubicBezTo>
                <a:cubicBezTo>
                  <a:pt x="86281" y="-4622"/>
                  <a:pt x="84693" y="112853"/>
                  <a:pt x="67231" y="143015"/>
                </a:cubicBezTo>
                <a:cubicBezTo>
                  <a:pt x="49769" y="173177"/>
                  <a:pt x="5318" y="160478"/>
                  <a:pt x="556" y="181115"/>
                </a:cubicBezTo>
                <a:cubicBezTo>
                  <a:pt x="-4206" y="201752"/>
                  <a:pt x="22781" y="250965"/>
                  <a:pt x="38656" y="266840"/>
                </a:cubicBezTo>
                <a:close/>
              </a:path>
            </a:pathLst>
          </a:custGeom>
          <a:solidFill>
            <a:srgbClr val="FFFF00"/>
          </a:solidFill>
          <a:ln w="158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4" name="Freeform 3"/>
          <xdr:cNvSpPr/>
        </xdr:nvSpPr>
        <xdr:spPr>
          <a:xfrm>
            <a:off x="1971120" y="1666735"/>
            <a:ext cx="181562" cy="284523"/>
          </a:xfrm>
          <a:custGeom>
            <a:avLst/>
            <a:gdLst>
              <a:gd name="connsiteX0" fmla="*/ 39005 w 181909"/>
              <a:gd name="connsiteY0" fmla="*/ 266714 h 284397"/>
              <a:gd name="connsiteX1" fmla="*/ 96155 w 181909"/>
              <a:gd name="connsiteY1" fmla="*/ 276239 h 284397"/>
              <a:gd name="connsiteX2" fmla="*/ 181880 w 181909"/>
              <a:gd name="connsiteY2" fmla="*/ 171464 h 284397"/>
              <a:gd name="connsiteX3" fmla="*/ 105680 w 181909"/>
              <a:gd name="connsiteY3" fmla="*/ 14 h 284397"/>
              <a:gd name="connsiteX4" fmla="*/ 96155 w 181909"/>
              <a:gd name="connsiteY4" fmla="*/ 161939 h 284397"/>
              <a:gd name="connsiteX5" fmla="*/ 905 w 181909"/>
              <a:gd name="connsiteY5" fmla="*/ 180989 h 284397"/>
              <a:gd name="connsiteX6" fmla="*/ 39005 w 181909"/>
              <a:gd name="connsiteY6" fmla="*/ 266714 h 284397"/>
              <a:gd name="connsiteX0" fmla="*/ 38656 w 181562"/>
              <a:gd name="connsiteY0" fmla="*/ 266840 h 284523"/>
              <a:gd name="connsiteX1" fmla="*/ 95806 w 181562"/>
              <a:gd name="connsiteY1" fmla="*/ 276365 h 284523"/>
              <a:gd name="connsiteX2" fmla="*/ 181531 w 181562"/>
              <a:gd name="connsiteY2" fmla="*/ 171590 h 284523"/>
              <a:gd name="connsiteX3" fmla="*/ 105331 w 181562"/>
              <a:gd name="connsiteY3" fmla="*/ 140 h 284523"/>
              <a:gd name="connsiteX4" fmla="*/ 67231 w 181562"/>
              <a:gd name="connsiteY4" fmla="*/ 143015 h 284523"/>
              <a:gd name="connsiteX5" fmla="*/ 556 w 181562"/>
              <a:gd name="connsiteY5" fmla="*/ 181115 h 284523"/>
              <a:gd name="connsiteX6" fmla="*/ 38656 w 181562"/>
              <a:gd name="connsiteY6" fmla="*/ 266840 h 2845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181562" h="284523">
                <a:moveTo>
                  <a:pt x="38656" y="266840"/>
                </a:moveTo>
                <a:cubicBezTo>
                  <a:pt x="54531" y="282715"/>
                  <a:pt x="71994" y="292240"/>
                  <a:pt x="95806" y="276365"/>
                </a:cubicBezTo>
                <a:cubicBezTo>
                  <a:pt x="119619" y="260490"/>
                  <a:pt x="179944" y="217627"/>
                  <a:pt x="181531" y="171590"/>
                </a:cubicBezTo>
                <a:cubicBezTo>
                  <a:pt x="183118" y="125553"/>
                  <a:pt x="124381" y="4902"/>
                  <a:pt x="105331" y="140"/>
                </a:cubicBezTo>
                <a:cubicBezTo>
                  <a:pt x="86281" y="-4622"/>
                  <a:pt x="84693" y="112853"/>
                  <a:pt x="67231" y="143015"/>
                </a:cubicBezTo>
                <a:cubicBezTo>
                  <a:pt x="49769" y="173177"/>
                  <a:pt x="5318" y="160478"/>
                  <a:pt x="556" y="181115"/>
                </a:cubicBezTo>
                <a:cubicBezTo>
                  <a:pt x="-4206" y="201752"/>
                  <a:pt x="22781" y="250965"/>
                  <a:pt x="38656" y="266840"/>
                </a:cubicBezTo>
                <a:close/>
              </a:path>
            </a:pathLst>
          </a:custGeom>
          <a:solidFill>
            <a:srgbClr val="FFFF00"/>
          </a:solidFill>
          <a:ln w="158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5" name="Freeform 4"/>
          <xdr:cNvSpPr/>
        </xdr:nvSpPr>
        <xdr:spPr>
          <a:xfrm>
            <a:off x="1656690" y="1821343"/>
            <a:ext cx="426432" cy="395500"/>
          </a:xfrm>
          <a:custGeom>
            <a:avLst/>
            <a:gdLst>
              <a:gd name="connsiteX0" fmla="*/ 26471 w 423668"/>
              <a:gd name="connsiteY0" fmla="*/ 359882 h 531332"/>
              <a:gd name="connsiteX1" fmla="*/ 35996 w 423668"/>
              <a:gd name="connsiteY1" fmla="*/ 45557 h 531332"/>
              <a:gd name="connsiteX2" fmla="*/ 378896 w 423668"/>
              <a:gd name="connsiteY2" fmla="*/ 36032 h 531332"/>
              <a:gd name="connsiteX3" fmla="*/ 397946 w 423668"/>
              <a:gd name="connsiteY3" fmla="*/ 369407 h 531332"/>
              <a:gd name="connsiteX4" fmla="*/ 178871 w 423668"/>
              <a:gd name="connsiteY4" fmla="*/ 531332 h 531332"/>
              <a:gd name="connsiteX5" fmla="*/ 26471 w 423668"/>
              <a:gd name="connsiteY5" fmla="*/ 359882 h 531332"/>
              <a:gd name="connsiteX0" fmla="*/ 29235 w 426432"/>
              <a:gd name="connsiteY0" fmla="*/ 359882 h 550382"/>
              <a:gd name="connsiteX1" fmla="*/ 38760 w 426432"/>
              <a:gd name="connsiteY1" fmla="*/ 45557 h 550382"/>
              <a:gd name="connsiteX2" fmla="*/ 381660 w 426432"/>
              <a:gd name="connsiteY2" fmla="*/ 36032 h 550382"/>
              <a:gd name="connsiteX3" fmla="*/ 400710 w 426432"/>
              <a:gd name="connsiteY3" fmla="*/ 369407 h 550382"/>
              <a:gd name="connsiteX4" fmla="*/ 229260 w 426432"/>
              <a:gd name="connsiteY4" fmla="*/ 550382 h 550382"/>
              <a:gd name="connsiteX5" fmla="*/ 29235 w 426432"/>
              <a:gd name="connsiteY5" fmla="*/ 359882 h 550382"/>
              <a:gd name="connsiteX0" fmla="*/ 29235 w 426432"/>
              <a:gd name="connsiteY0" fmla="*/ 359882 h 550382"/>
              <a:gd name="connsiteX1" fmla="*/ 38760 w 426432"/>
              <a:gd name="connsiteY1" fmla="*/ 45557 h 550382"/>
              <a:gd name="connsiteX2" fmla="*/ 381660 w 426432"/>
              <a:gd name="connsiteY2" fmla="*/ 36032 h 550382"/>
              <a:gd name="connsiteX3" fmla="*/ 400710 w 426432"/>
              <a:gd name="connsiteY3" fmla="*/ 369407 h 550382"/>
              <a:gd name="connsiteX4" fmla="*/ 229260 w 426432"/>
              <a:gd name="connsiteY4" fmla="*/ 550382 h 550382"/>
              <a:gd name="connsiteX5" fmla="*/ 29235 w 426432"/>
              <a:gd name="connsiteY5" fmla="*/ 359882 h 550382"/>
              <a:gd name="connsiteX0" fmla="*/ 29235 w 426432"/>
              <a:gd name="connsiteY0" fmla="*/ 359882 h 395500"/>
              <a:gd name="connsiteX1" fmla="*/ 38760 w 426432"/>
              <a:gd name="connsiteY1" fmla="*/ 45557 h 395500"/>
              <a:gd name="connsiteX2" fmla="*/ 381660 w 426432"/>
              <a:gd name="connsiteY2" fmla="*/ 36032 h 395500"/>
              <a:gd name="connsiteX3" fmla="*/ 400710 w 426432"/>
              <a:gd name="connsiteY3" fmla="*/ 369407 h 395500"/>
              <a:gd name="connsiteX4" fmla="*/ 229260 w 426432"/>
              <a:gd name="connsiteY4" fmla="*/ 312257 h 395500"/>
              <a:gd name="connsiteX5" fmla="*/ 29235 w 426432"/>
              <a:gd name="connsiteY5" fmla="*/ 359882 h 3955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426432" h="395500">
                <a:moveTo>
                  <a:pt x="29235" y="359882"/>
                </a:moveTo>
                <a:cubicBezTo>
                  <a:pt x="-2515" y="315432"/>
                  <a:pt x="-19978" y="99532"/>
                  <a:pt x="38760" y="45557"/>
                </a:cubicBezTo>
                <a:cubicBezTo>
                  <a:pt x="97498" y="-8418"/>
                  <a:pt x="321335" y="-17943"/>
                  <a:pt x="381660" y="36032"/>
                </a:cubicBezTo>
                <a:cubicBezTo>
                  <a:pt x="441985" y="90007"/>
                  <a:pt x="434047" y="286857"/>
                  <a:pt x="400710" y="369407"/>
                </a:cubicBezTo>
                <a:cubicBezTo>
                  <a:pt x="367373" y="451957"/>
                  <a:pt x="338797" y="312257"/>
                  <a:pt x="229260" y="312257"/>
                </a:cubicBezTo>
                <a:cubicBezTo>
                  <a:pt x="119723" y="312257"/>
                  <a:pt x="60985" y="404332"/>
                  <a:pt x="29235" y="359882"/>
                </a:cubicBezTo>
                <a:close/>
              </a:path>
            </a:pathLst>
          </a:custGeom>
          <a:solidFill>
            <a:schemeClr val="bg1"/>
          </a:solidFill>
          <a:ln w="158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6" name="Freeform 5"/>
          <xdr:cNvSpPr/>
        </xdr:nvSpPr>
        <xdr:spPr>
          <a:xfrm>
            <a:off x="1695434" y="2085854"/>
            <a:ext cx="361967" cy="229629"/>
          </a:xfrm>
          <a:custGeom>
            <a:avLst/>
            <a:gdLst>
              <a:gd name="connsiteX0" fmla="*/ 14 w 361982"/>
              <a:gd name="connsiteY0" fmla="*/ 104775 h 285750"/>
              <a:gd name="connsiteX1" fmla="*/ 190514 w 361982"/>
              <a:gd name="connsiteY1" fmla="*/ 0 h 285750"/>
              <a:gd name="connsiteX2" fmla="*/ 361964 w 361982"/>
              <a:gd name="connsiteY2" fmla="*/ 104775 h 285750"/>
              <a:gd name="connsiteX3" fmla="*/ 200039 w 361982"/>
              <a:gd name="connsiteY3" fmla="*/ 285750 h 285750"/>
              <a:gd name="connsiteX4" fmla="*/ 14 w 361982"/>
              <a:gd name="connsiteY4" fmla="*/ 104775 h 285750"/>
              <a:gd name="connsiteX0" fmla="*/ 14 w 362003"/>
              <a:gd name="connsiteY0" fmla="*/ 104775 h 285750"/>
              <a:gd name="connsiteX1" fmla="*/ 190514 w 362003"/>
              <a:gd name="connsiteY1" fmla="*/ 0 h 285750"/>
              <a:gd name="connsiteX2" fmla="*/ 361964 w 362003"/>
              <a:gd name="connsiteY2" fmla="*/ 104775 h 285750"/>
              <a:gd name="connsiteX3" fmla="*/ 200039 w 362003"/>
              <a:gd name="connsiteY3" fmla="*/ 285750 h 285750"/>
              <a:gd name="connsiteX4" fmla="*/ 14 w 362003"/>
              <a:gd name="connsiteY4" fmla="*/ 104775 h 285750"/>
              <a:gd name="connsiteX0" fmla="*/ 14 w 371505"/>
              <a:gd name="connsiteY0" fmla="*/ 105033 h 286158"/>
              <a:gd name="connsiteX1" fmla="*/ 190514 w 371505"/>
              <a:gd name="connsiteY1" fmla="*/ 258 h 286158"/>
              <a:gd name="connsiteX2" fmla="*/ 371489 w 371505"/>
              <a:gd name="connsiteY2" fmla="*/ 133608 h 286158"/>
              <a:gd name="connsiteX3" fmla="*/ 200039 w 371505"/>
              <a:gd name="connsiteY3" fmla="*/ 286008 h 286158"/>
              <a:gd name="connsiteX4" fmla="*/ 14 w 371505"/>
              <a:gd name="connsiteY4" fmla="*/ 105033 h 286158"/>
              <a:gd name="connsiteX0" fmla="*/ 17 w 352458"/>
              <a:gd name="connsiteY0" fmla="*/ 123849 h 285791"/>
              <a:gd name="connsiteX1" fmla="*/ 171467 w 352458"/>
              <a:gd name="connsiteY1" fmla="*/ 24 h 285791"/>
              <a:gd name="connsiteX2" fmla="*/ 352442 w 352458"/>
              <a:gd name="connsiteY2" fmla="*/ 133374 h 285791"/>
              <a:gd name="connsiteX3" fmla="*/ 180992 w 352458"/>
              <a:gd name="connsiteY3" fmla="*/ 285774 h 285791"/>
              <a:gd name="connsiteX4" fmla="*/ 17 w 352458"/>
              <a:gd name="connsiteY4" fmla="*/ 123849 h 285791"/>
              <a:gd name="connsiteX0" fmla="*/ 24 w 352465"/>
              <a:gd name="connsiteY0" fmla="*/ 123849 h 285791"/>
              <a:gd name="connsiteX1" fmla="*/ 171474 w 352465"/>
              <a:gd name="connsiteY1" fmla="*/ 24 h 285791"/>
              <a:gd name="connsiteX2" fmla="*/ 352449 w 352465"/>
              <a:gd name="connsiteY2" fmla="*/ 133374 h 285791"/>
              <a:gd name="connsiteX3" fmla="*/ 180999 w 352465"/>
              <a:gd name="connsiteY3" fmla="*/ 285774 h 285791"/>
              <a:gd name="connsiteX4" fmla="*/ 24 w 352465"/>
              <a:gd name="connsiteY4" fmla="*/ 123849 h 285791"/>
              <a:gd name="connsiteX0" fmla="*/ 24 w 352465"/>
              <a:gd name="connsiteY0" fmla="*/ 123849 h 285791"/>
              <a:gd name="connsiteX1" fmla="*/ 171474 w 352465"/>
              <a:gd name="connsiteY1" fmla="*/ 24 h 285791"/>
              <a:gd name="connsiteX2" fmla="*/ 352449 w 352465"/>
              <a:gd name="connsiteY2" fmla="*/ 133374 h 285791"/>
              <a:gd name="connsiteX3" fmla="*/ 180999 w 352465"/>
              <a:gd name="connsiteY3" fmla="*/ 285774 h 285791"/>
              <a:gd name="connsiteX4" fmla="*/ 24 w 352465"/>
              <a:gd name="connsiteY4" fmla="*/ 123849 h 285791"/>
              <a:gd name="connsiteX0" fmla="*/ 24 w 352449"/>
              <a:gd name="connsiteY0" fmla="*/ 123849 h 285791"/>
              <a:gd name="connsiteX1" fmla="*/ 171474 w 352449"/>
              <a:gd name="connsiteY1" fmla="*/ 24 h 285791"/>
              <a:gd name="connsiteX2" fmla="*/ 352449 w 352449"/>
              <a:gd name="connsiteY2" fmla="*/ 133374 h 285791"/>
              <a:gd name="connsiteX3" fmla="*/ 180999 w 352449"/>
              <a:gd name="connsiteY3" fmla="*/ 285774 h 285791"/>
              <a:gd name="connsiteX4" fmla="*/ 24 w 352449"/>
              <a:gd name="connsiteY4" fmla="*/ 123849 h 285791"/>
              <a:gd name="connsiteX0" fmla="*/ 17 w 361967"/>
              <a:gd name="connsiteY0" fmla="*/ 123945 h 285933"/>
              <a:gd name="connsiteX1" fmla="*/ 171467 w 361967"/>
              <a:gd name="connsiteY1" fmla="*/ 120 h 285933"/>
              <a:gd name="connsiteX2" fmla="*/ 361967 w 361967"/>
              <a:gd name="connsiteY2" fmla="*/ 104895 h 285933"/>
              <a:gd name="connsiteX3" fmla="*/ 180992 w 361967"/>
              <a:gd name="connsiteY3" fmla="*/ 285870 h 285933"/>
              <a:gd name="connsiteX4" fmla="*/ 17 w 361967"/>
              <a:gd name="connsiteY4" fmla="*/ 123945 h 285933"/>
              <a:gd name="connsiteX0" fmla="*/ 17 w 361967"/>
              <a:gd name="connsiteY0" fmla="*/ 123945 h 285933"/>
              <a:gd name="connsiteX1" fmla="*/ 171467 w 361967"/>
              <a:gd name="connsiteY1" fmla="*/ 120 h 285933"/>
              <a:gd name="connsiteX2" fmla="*/ 361967 w 361967"/>
              <a:gd name="connsiteY2" fmla="*/ 104895 h 285933"/>
              <a:gd name="connsiteX3" fmla="*/ 180992 w 361967"/>
              <a:gd name="connsiteY3" fmla="*/ 285870 h 285933"/>
              <a:gd name="connsiteX4" fmla="*/ 17 w 361967"/>
              <a:gd name="connsiteY4" fmla="*/ 123945 h 285933"/>
              <a:gd name="connsiteX0" fmla="*/ 17 w 361967"/>
              <a:gd name="connsiteY0" fmla="*/ 123945 h 228824"/>
              <a:gd name="connsiteX1" fmla="*/ 171467 w 361967"/>
              <a:gd name="connsiteY1" fmla="*/ 120 h 228824"/>
              <a:gd name="connsiteX2" fmla="*/ 361967 w 361967"/>
              <a:gd name="connsiteY2" fmla="*/ 104895 h 228824"/>
              <a:gd name="connsiteX3" fmla="*/ 180992 w 361967"/>
              <a:gd name="connsiteY3" fmla="*/ 228720 h 228824"/>
              <a:gd name="connsiteX4" fmla="*/ 17 w 361967"/>
              <a:gd name="connsiteY4" fmla="*/ 123945 h 228824"/>
              <a:gd name="connsiteX0" fmla="*/ 17 w 361967"/>
              <a:gd name="connsiteY0" fmla="*/ 123945 h 229629"/>
              <a:gd name="connsiteX1" fmla="*/ 171467 w 361967"/>
              <a:gd name="connsiteY1" fmla="*/ 120 h 229629"/>
              <a:gd name="connsiteX2" fmla="*/ 361967 w 361967"/>
              <a:gd name="connsiteY2" fmla="*/ 104895 h 229629"/>
              <a:gd name="connsiteX3" fmla="*/ 180992 w 361967"/>
              <a:gd name="connsiteY3" fmla="*/ 228720 h 229629"/>
              <a:gd name="connsiteX4" fmla="*/ 17 w 361967"/>
              <a:gd name="connsiteY4" fmla="*/ 123945 h 22962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361967" h="229629">
                <a:moveTo>
                  <a:pt x="17" y="123945"/>
                </a:moveTo>
                <a:cubicBezTo>
                  <a:pt x="-1571" y="85845"/>
                  <a:pt x="111142" y="3295"/>
                  <a:pt x="171467" y="120"/>
                </a:cubicBezTo>
                <a:cubicBezTo>
                  <a:pt x="231792" y="-3055"/>
                  <a:pt x="360380" y="57270"/>
                  <a:pt x="361967" y="104895"/>
                </a:cubicBezTo>
                <a:cubicBezTo>
                  <a:pt x="325454" y="209670"/>
                  <a:pt x="288942" y="235070"/>
                  <a:pt x="180992" y="228720"/>
                </a:cubicBezTo>
                <a:cubicBezTo>
                  <a:pt x="73042" y="222370"/>
                  <a:pt x="1605" y="162045"/>
                  <a:pt x="17" y="123945"/>
                </a:cubicBezTo>
                <a:close/>
              </a:path>
            </a:pathLst>
          </a:custGeom>
          <a:solidFill>
            <a:schemeClr val="accent6">
              <a:lumMod val="20000"/>
              <a:lumOff val="80000"/>
            </a:schemeClr>
          </a:solidFill>
          <a:ln w="158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7" name="Oval 6"/>
          <xdr:cNvSpPr/>
        </xdr:nvSpPr>
        <xdr:spPr>
          <a:xfrm rot="-600000">
            <a:off x="1790701" y="2133600"/>
            <a:ext cx="57150" cy="95250"/>
          </a:xfrm>
          <a:prstGeom prst="ellipse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8" name="Oval 7"/>
          <xdr:cNvSpPr/>
        </xdr:nvSpPr>
        <xdr:spPr>
          <a:xfrm rot="600000">
            <a:off x="1895476" y="2133600"/>
            <a:ext cx="57150" cy="95250"/>
          </a:xfrm>
          <a:prstGeom prst="ellipse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grpSp>
        <xdr:nvGrpSpPr>
          <xdr:cNvPr id="9" name="Group 8"/>
          <xdr:cNvGrpSpPr/>
        </xdr:nvGrpSpPr>
        <xdr:grpSpPr>
          <a:xfrm>
            <a:off x="1704938" y="1885948"/>
            <a:ext cx="333412" cy="180977"/>
            <a:chOff x="1533488" y="1552573"/>
            <a:chExt cx="361988" cy="219077"/>
          </a:xfrm>
        </xdr:grpSpPr>
        <xdr:sp macro="" textlink="">
          <xdr:nvSpPr>
            <xdr:cNvPr id="10" name="Oval 39"/>
            <xdr:cNvSpPr/>
          </xdr:nvSpPr>
          <xdr:spPr>
            <a:xfrm rot="-300000">
              <a:off x="1533488" y="1552574"/>
              <a:ext cx="152437" cy="219076"/>
            </a:xfrm>
            <a:custGeom>
              <a:avLst/>
              <a:gdLst>
                <a:gd name="connsiteX0" fmla="*/ 0 w 171450"/>
                <a:gd name="connsiteY0" fmla="*/ 100013 h 200025"/>
                <a:gd name="connsiteX1" fmla="*/ 85725 w 171450"/>
                <a:gd name="connsiteY1" fmla="*/ 0 h 200025"/>
                <a:gd name="connsiteX2" fmla="*/ 171450 w 171450"/>
                <a:gd name="connsiteY2" fmla="*/ 100013 h 200025"/>
                <a:gd name="connsiteX3" fmla="*/ 85725 w 171450"/>
                <a:gd name="connsiteY3" fmla="*/ 200026 h 200025"/>
                <a:gd name="connsiteX4" fmla="*/ 0 w 171450"/>
                <a:gd name="connsiteY4" fmla="*/ 100013 h 200025"/>
                <a:gd name="connsiteX0" fmla="*/ 0 w 161925"/>
                <a:gd name="connsiteY0" fmla="*/ 100667 h 200997"/>
                <a:gd name="connsiteX1" fmla="*/ 85725 w 161925"/>
                <a:gd name="connsiteY1" fmla="*/ 654 h 200997"/>
                <a:gd name="connsiteX2" fmla="*/ 161925 w 161925"/>
                <a:gd name="connsiteY2" fmla="*/ 72092 h 200997"/>
                <a:gd name="connsiteX3" fmla="*/ 85725 w 161925"/>
                <a:gd name="connsiteY3" fmla="*/ 200680 h 200997"/>
                <a:gd name="connsiteX4" fmla="*/ 0 w 161925"/>
                <a:gd name="connsiteY4" fmla="*/ 100667 h 200997"/>
                <a:gd name="connsiteX0" fmla="*/ 0 w 161925"/>
                <a:gd name="connsiteY0" fmla="*/ 71438 h 200026"/>
                <a:gd name="connsiteX1" fmla="*/ 85725 w 161925"/>
                <a:gd name="connsiteY1" fmla="*/ 0 h 200026"/>
                <a:gd name="connsiteX2" fmla="*/ 161925 w 161925"/>
                <a:gd name="connsiteY2" fmla="*/ 71438 h 200026"/>
                <a:gd name="connsiteX3" fmla="*/ 85725 w 161925"/>
                <a:gd name="connsiteY3" fmla="*/ 200026 h 200026"/>
                <a:gd name="connsiteX4" fmla="*/ 0 w 161925"/>
                <a:gd name="connsiteY4" fmla="*/ 71438 h 200026"/>
                <a:gd name="connsiteX0" fmla="*/ 36 w 161961"/>
                <a:gd name="connsiteY0" fmla="*/ 71438 h 161926"/>
                <a:gd name="connsiteX1" fmla="*/ 85761 w 161961"/>
                <a:gd name="connsiteY1" fmla="*/ 0 h 161926"/>
                <a:gd name="connsiteX2" fmla="*/ 161961 w 161961"/>
                <a:gd name="connsiteY2" fmla="*/ 71438 h 161926"/>
                <a:gd name="connsiteX3" fmla="*/ 76236 w 161961"/>
                <a:gd name="connsiteY3" fmla="*/ 161926 h 161926"/>
                <a:gd name="connsiteX4" fmla="*/ 36 w 161961"/>
                <a:gd name="connsiteY4" fmla="*/ 71438 h 16192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61961" h="161926">
                  <a:moveTo>
                    <a:pt x="36" y="71438"/>
                  </a:moveTo>
                  <a:cubicBezTo>
                    <a:pt x="1623" y="44450"/>
                    <a:pt x="58774" y="0"/>
                    <a:pt x="85761" y="0"/>
                  </a:cubicBezTo>
                  <a:cubicBezTo>
                    <a:pt x="112748" y="0"/>
                    <a:pt x="161961" y="16202"/>
                    <a:pt x="161961" y="71438"/>
                  </a:cubicBezTo>
                  <a:cubicBezTo>
                    <a:pt x="161961" y="126674"/>
                    <a:pt x="103223" y="161926"/>
                    <a:pt x="76236" y="161926"/>
                  </a:cubicBezTo>
                  <a:cubicBezTo>
                    <a:pt x="49249" y="161926"/>
                    <a:pt x="-1551" y="98426"/>
                    <a:pt x="36" y="71438"/>
                  </a:cubicBezTo>
                  <a:close/>
                </a:path>
              </a:pathLst>
            </a:custGeom>
            <a:solidFill>
              <a:schemeClr val="bg1"/>
            </a:solidFill>
            <a:ln w="158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  <xdr:sp macro="" textlink="">
          <xdr:nvSpPr>
            <xdr:cNvPr id="11" name="Oval 39"/>
            <xdr:cNvSpPr/>
          </xdr:nvSpPr>
          <xdr:spPr>
            <a:xfrm rot="420000" flipH="1">
              <a:off x="1743039" y="1552573"/>
              <a:ext cx="152437" cy="219076"/>
            </a:xfrm>
            <a:custGeom>
              <a:avLst/>
              <a:gdLst>
                <a:gd name="connsiteX0" fmla="*/ 0 w 171450"/>
                <a:gd name="connsiteY0" fmla="*/ 100013 h 200025"/>
                <a:gd name="connsiteX1" fmla="*/ 85725 w 171450"/>
                <a:gd name="connsiteY1" fmla="*/ 0 h 200025"/>
                <a:gd name="connsiteX2" fmla="*/ 171450 w 171450"/>
                <a:gd name="connsiteY2" fmla="*/ 100013 h 200025"/>
                <a:gd name="connsiteX3" fmla="*/ 85725 w 171450"/>
                <a:gd name="connsiteY3" fmla="*/ 200026 h 200025"/>
                <a:gd name="connsiteX4" fmla="*/ 0 w 171450"/>
                <a:gd name="connsiteY4" fmla="*/ 100013 h 200025"/>
                <a:gd name="connsiteX0" fmla="*/ 0 w 161925"/>
                <a:gd name="connsiteY0" fmla="*/ 100667 h 200997"/>
                <a:gd name="connsiteX1" fmla="*/ 85725 w 161925"/>
                <a:gd name="connsiteY1" fmla="*/ 654 h 200997"/>
                <a:gd name="connsiteX2" fmla="*/ 161925 w 161925"/>
                <a:gd name="connsiteY2" fmla="*/ 72092 h 200997"/>
                <a:gd name="connsiteX3" fmla="*/ 85725 w 161925"/>
                <a:gd name="connsiteY3" fmla="*/ 200680 h 200997"/>
                <a:gd name="connsiteX4" fmla="*/ 0 w 161925"/>
                <a:gd name="connsiteY4" fmla="*/ 100667 h 200997"/>
                <a:gd name="connsiteX0" fmla="*/ 0 w 161925"/>
                <a:gd name="connsiteY0" fmla="*/ 71438 h 200026"/>
                <a:gd name="connsiteX1" fmla="*/ 85725 w 161925"/>
                <a:gd name="connsiteY1" fmla="*/ 0 h 200026"/>
                <a:gd name="connsiteX2" fmla="*/ 161925 w 161925"/>
                <a:gd name="connsiteY2" fmla="*/ 71438 h 200026"/>
                <a:gd name="connsiteX3" fmla="*/ 85725 w 161925"/>
                <a:gd name="connsiteY3" fmla="*/ 200026 h 200026"/>
                <a:gd name="connsiteX4" fmla="*/ 0 w 161925"/>
                <a:gd name="connsiteY4" fmla="*/ 71438 h 200026"/>
                <a:gd name="connsiteX0" fmla="*/ 36 w 161961"/>
                <a:gd name="connsiteY0" fmla="*/ 71438 h 161926"/>
                <a:gd name="connsiteX1" fmla="*/ 85761 w 161961"/>
                <a:gd name="connsiteY1" fmla="*/ 0 h 161926"/>
                <a:gd name="connsiteX2" fmla="*/ 161961 w 161961"/>
                <a:gd name="connsiteY2" fmla="*/ 71438 h 161926"/>
                <a:gd name="connsiteX3" fmla="*/ 76236 w 161961"/>
                <a:gd name="connsiteY3" fmla="*/ 161926 h 161926"/>
                <a:gd name="connsiteX4" fmla="*/ 36 w 161961"/>
                <a:gd name="connsiteY4" fmla="*/ 71438 h 16192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61961" h="161926">
                  <a:moveTo>
                    <a:pt x="36" y="71438"/>
                  </a:moveTo>
                  <a:cubicBezTo>
                    <a:pt x="1623" y="44450"/>
                    <a:pt x="58774" y="0"/>
                    <a:pt x="85761" y="0"/>
                  </a:cubicBezTo>
                  <a:cubicBezTo>
                    <a:pt x="112748" y="0"/>
                    <a:pt x="161961" y="16202"/>
                    <a:pt x="161961" y="71438"/>
                  </a:cubicBezTo>
                  <a:cubicBezTo>
                    <a:pt x="161961" y="126674"/>
                    <a:pt x="103223" y="161926"/>
                    <a:pt x="76236" y="161926"/>
                  </a:cubicBezTo>
                  <a:cubicBezTo>
                    <a:pt x="49249" y="161926"/>
                    <a:pt x="-1551" y="98426"/>
                    <a:pt x="36" y="71438"/>
                  </a:cubicBezTo>
                  <a:close/>
                </a:path>
              </a:pathLst>
            </a:custGeom>
            <a:solidFill>
              <a:schemeClr val="bg1"/>
            </a:solidFill>
            <a:ln w="158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  <xdr:sp macro="" textlink="">
          <xdr:nvSpPr>
            <xdr:cNvPr id="12" name="Oval 11"/>
            <xdr:cNvSpPr/>
          </xdr:nvSpPr>
          <xdr:spPr>
            <a:xfrm>
              <a:off x="1800225" y="1619250"/>
              <a:ext cx="76200" cy="76200"/>
            </a:xfrm>
            <a:prstGeom prst="ellipse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  <xdr:sp macro="" textlink="">
          <xdr:nvSpPr>
            <xdr:cNvPr id="13" name="Oval 12"/>
            <xdr:cNvSpPr/>
          </xdr:nvSpPr>
          <xdr:spPr>
            <a:xfrm>
              <a:off x="1562100" y="1609725"/>
              <a:ext cx="76200" cy="76200"/>
            </a:xfrm>
            <a:prstGeom prst="ellipse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</xdr:grpSp>
    </xdr:grpSp>
    <xdr:clientData/>
  </xdr:twoCellAnchor>
  <xdr:twoCellAnchor>
    <xdr:from>
      <xdr:col>0</xdr:col>
      <xdr:colOff>409575</xdr:colOff>
      <xdr:row>2</xdr:row>
      <xdr:rowOff>20042</xdr:rowOff>
    </xdr:from>
    <xdr:to>
      <xdr:col>1</xdr:col>
      <xdr:colOff>380093</xdr:colOff>
      <xdr:row>4</xdr:row>
      <xdr:rowOff>31442</xdr:rowOff>
    </xdr:to>
    <xdr:grpSp>
      <xdr:nvGrpSpPr>
        <xdr:cNvPr id="14" name="Projectile"/>
        <xdr:cNvGrpSpPr>
          <a:grpSpLocks noChangeAspect="1"/>
        </xdr:cNvGrpSpPr>
      </xdr:nvGrpSpPr>
      <xdr:grpSpPr>
        <a:xfrm>
          <a:off x="409575" y="401042"/>
          <a:ext cx="580118" cy="392400"/>
          <a:chOff x="656395" y="1417446"/>
          <a:chExt cx="848558" cy="601845"/>
        </a:xfrm>
      </xdr:grpSpPr>
      <xdr:sp macro="" textlink="">
        <xdr:nvSpPr>
          <xdr:cNvPr id="15" name="Freeform 14"/>
          <xdr:cNvSpPr/>
        </xdr:nvSpPr>
        <xdr:spPr>
          <a:xfrm>
            <a:off x="656395" y="1417446"/>
            <a:ext cx="794258" cy="601845"/>
          </a:xfrm>
          <a:custGeom>
            <a:avLst/>
            <a:gdLst>
              <a:gd name="connsiteX0" fmla="*/ 19882 w 936978"/>
              <a:gd name="connsiteY0" fmla="*/ 258948 h 668618"/>
              <a:gd name="connsiteX1" fmla="*/ 429457 w 936978"/>
              <a:gd name="connsiteY1" fmla="*/ 1773 h 668618"/>
              <a:gd name="connsiteX2" fmla="*/ 886657 w 936978"/>
              <a:gd name="connsiteY2" fmla="*/ 163698 h 668618"/>
              <a:gd name="connsiteX3" fmla="*/ 877132 w 936978"/>
              <a:gd name="connsiteY3" fmla="*/ 506598 h 668618"/>
              <a:gd name="connsiteX4" fmla="*/ 458032 w 936978"/>
              <a:gd name="connsiteY4" fmla="*/ 668523 h 668618"/>
              <a:gd name="connsiteX5" fmla="*/ 105607 w 936978"/>
              <a:gd name="connsiteY5" fmla="*/ 525648 h 668618"/>
              <a:gd name="connsiteX6" fmla="*/ 19882 w 936978"/>
              <a:gd name="connsiteY6" fmla="*/ 258948 h 66861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936978" h="668618">
                <a:moveTo>
                  <a:pt x="19882" y="258948"/>
                </a:moveTo>
                <a:cubicBezTo>
                  <a:pt x="73857" y="171636"/>
                  <a:pt x="284995" y="17648"/>
                  <a:pt x="429457" y="1773"/>
                </a:cubicBezTo>
                <a:cubicBezTo>
                  <a:pt x="573919" y="-14102"/>
                  <a:pt x="812045" y="79560"/>
                  <a:pt x="886657" y="163698"/>
                </a:cubicBezTo>
                <a:cubicBezTo>
                  <a:pt x="961270" y="247835"/>
                  <a:pt x="948569" y="422461"/>
                  <a:pt x="877132" y="506598"/>
                </a:cubicBezTo>
                <a:cubicBezTo>
                  <a:pt x="805695" y="590735"/>
                  <a:pt x="586619" y="665348"/>
                  <a:pt x="458032" y="668523"/>
                </a:cubicBezTo>
                <a:cubicBezTo>
                  <a:pt x="329445" y="671698"/>
                  <a:pt x="180220" y="595498"/>
                  <a:pt x="105607" y="525648"/>
                </a:cubicBezTo>
                <a:cubicBezTo>
                  <a:pt x="30995" y="455798"/>
                  <a:pt x="-34093" y="346260"/>
                  <a:pt x="19882" y="258948"/>
                </a:cubicBezTo>
                <a:close/>
              </a:path>
            </a:pathLst>
          </a:custGeom>
          <a:solidFill>
            <a:srgbClr val="FFC000"/>
          </a:solidFill>
          <a:ln w="158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16" name="Oval 15"/>
          <xdr:cNvSpPr/>
        </xdr:nvSpPr>
        <xdr:spPr>
          <a:xfrm rot="300000">
            <a:off x="1028512" y="1581943"/>
            <a:ext cx="137261" cy="120033"/>
          </a:xfrm>
          <a:prstGeom prst="ellipse">
            <a:avLst/>
          </a:prstGeom>
          <a:solidFill>
            <a:schemeClr val="bg1"/>
          </a:solidFill>
          <a:ln w="158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17" name="Oval 16"/>
          <xdr:cNvSpPr/>
        </xdr:nvSpPr>
        <xdr:spPr>
          <a:xfrm rot="21420000">
            <a:off x="1222291" y="1564796"/>
            <a:ext cx="137261" cy="120033"/>
          </a:xfrm>
          <a:prstGeom prst="ellipse">
            <a:avLst/>
          </a:prstGeom>
          <a:solidFill>
            <a:schemeClr val="bg1"/>
          </a:solidFill>
          <a:ln w="158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cxnSp macro="">
        <xdr:nvCxnSpPr>
          <xdr:cNvPr id="18" name="Straight Connector 17"/>
          <xdr:cNvCxnSpPr/>
        </xdr:nvCxnSpPr>
        <xdr:spPr>
          <a:xfrm flipH="1" flipV="1">
            <a:off x="996215" y="1461911"/>
            <a:ext cx="169557" cy="51444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Straight Connector 18"/>
          <xdr:cNvCxnSpPr/>
        </xdr:nvCxnSpPr>
        <xdr:spPr>
          <a:xfrm flipH="1" flipV="1">
            <a:off x="988140" y="1504780"/>
            <a:ext cx="177634" cy="17149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20" name="Group 19"/>
          <xdr:cNvGrpSpPr/>
        </xdr:nvGrpSpPr>
        <xdr:grpSpPr>
          <a:xfrm flipH="1">
            <a:off x="1222289" y="1461867"/>
            <a:ext cx="137261" cy="51534"/>
            <a:chOff x="1200150" y="1247775"/>
            <a:chExt cx="209552" cy="66677"/>
          </a:xfrm>
        </xdr:grpSpPr>
        <xdr:cxnSp macro="">
          <xdr:nvCxnSpPr>
            <xdr:cNvPr id="30" name="Straight Connector 29"/>
            <xdr:cNvCxnSpPr/>
          </xdr:nvCxnSpPr>
          <xdr:spPr>
            <a:xfrm flipH="1" flipV="1">
              <a:off x="1209675" y="1247775"/>
              <a:ext cx="200025" cy="57151"/>
            </a:xfrm>
            <a:prstGeom prst="line">
              <a:avLst/>
            </a:prstGeom>
            <a:ln w="158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" name="Straight Connector 30"/>
            <xdr:cNvCxnSpPr/>
          </xdr:nvCxnSpPr>
          <xdr:spPr>
            <a:xfrm flipH="1" flipV="1">
              <a:off x="1200150" y="1295400"/>
              <a:ext cx="209552" cy="19052"/>
            </a:xfrm>
            <a:prstGeom prst="line">
              <a:avLst/>
            </a:prstGeom>
            <a:ln w="158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" name="Oval 20"/>
          <xdr:cNvSpPr/>
        </xdr:nvSpPr>
        <xdr:spPr>
          <a:xfrm>
            <a:off x="1268524" y="1590518"/>
            <a:ext cx="31603" cy="52672"/>
          </a:xfrm>
          <a:prstGeom prst="ellipse">
            <a:avLst/>
          </a:prstGeom>
          <a:solidFill>
            <a:schemeClr val="tx1"/>
          </a:solidFill>
          <a:ln w="158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22" name="Oval 21"/>
          <xdr:cNvSpPr/>
        </xdr:nvSpPr>
        <xdr:spPr>
          <a:xfrm>
            <a:off x="1085030" y="1607667"/>
            <a:ext cx="31603" cy="52672"/>
          </a:xfrm>
          <a:prstGeom prst="ellipse">
            <a:avLst/>
          </a:prstGeom>
          <a:solidFill>
            <a:schemeClr val="tx1"/>
          </a:solidFill>
          <a:ln w="158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23" name="Freeform 22"/>
          <xdr:cNvSpPr/>
        </xdr:nvSpPr>
        <xdr:spPr>
          <a:xfrm>
            <a:off x="1137021" y="1761524"/>
            <a:ext cx="287125" cy="163369"/>
          </a:xfrm>
          <a:custGeom>
            <a:avLst/>
            <a:gdLst>
              <a:gd name="connsiteX0" fmla="*/ 24 w 457304"/>
              <a:gd name="connsiteY0" fmla="*/ 86244 h 143838"/>
              <a:gd name="connsiteX1" fmla="*/ 133374 w 457304"/>
              <a:gd name="connsiteY1" fmla="*/ 519 h 143838"/>
              <a:gd name="connsiteX2" fmla="*/ 352449 w 457304"/>
              <a:gd name="connsiteY2" fmla="*/ 48144 h 143838"/>
              <a:gd name="connsiteX3" fmla="*/ 409599 w 457304"/>
              <a:gd name="connsiteY3" fmla="*/ 519 h 143838"/>
              <a:gd name="connsiteX4" fmla="*/ 457224 w 457304"/>
              <a:gd name="connsiteY4" fmla="*/ 38619 h 143838"/>
              <a:gd name="connsiteX5" fmla="*/ 419124 w 457304"/>
              <a:gd name="connsiteY5" fmla="*/ 114819 h 143838"/>
              <a:gd name="connsiteX6" fmla="*/ 352449 w 457304"/>
              <a:gd name="connsiteY6" fmla="*/ 143394 h 143838"/>
              <a:gd name="connsiteX7" fmla="*/ 142899 w 457304"/>
              <a:gd name="connsiteY7" fmla="*/ 95769 h 143838"/>
              <a:gd name="connsiteX8" fmla="*/ 24 w 457304"/>
              <a:gd name="connsiteY8" fmla="*/ 86244 h 143838"/>
              <a:gd name="connsiteX0" fmla="*/ 5343 w 462623"/>
              <a:gd name="connsiteY0" fmla="*/ 86244 h 143838"/>
              <a:gd name="connsiteX1" fmla="*/ 138693 w 462623"/>
              <a:gd name="connsiteY1" fmla="*/ 519 h 143838"/>
              <a:gd name="connsiteX2" fmla="*/ 357768 w 462623"/>
              <a:gd name="connsiteY2" fmla="*/ 48144 h 143838"/>
              <a:gd name="connsiteX3" fmla="*/ 414918 w 462623"/>
              <a:gd name="connsiteY3" fmla="*/ 519 h 143838"/>
              <a:gd name="connsiteX4" fmla="*/ 462543 w 462623"/>
              <a:gd name="connsiteY4" fmla="*/ 38619 h 143838"/>
              <a:gd name="connsiteX5" fmla="*/ 424443 w 462623"/>
              <a:gd name="connsiteY5" fmla="*/ 114819 h 143838"/>
              <a:gd name="connsiteX6" fmla="*/ 357768 w 462623"/>
              <a:gd name="connsiteY6" fmla="*/ 143394 h 143838"/>
              <a:gd name="connsiteX7" fmla="*/ 148218 w 462623"/>
              <a:gd name="connsiteY7" fmla="*/ 95769 h 143838"/>
              <a:gd name="connsiteX8" fmla="*/ 5343 w 462623"/>
              <a:gd name="connsiteY8" fmla="*/ 86244 h 14383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462623" h="143838">
                <a:moveTo>
                  <a:pt x="5343" y="86244"/>
                </a:moveTo>
                <a:cubicBezTo>
                  <a:pt x="-24820" y="22744"/>
                  <a:pt x="79956" y="6869"/>
                  <a:pt x="138693" y="519"/>
                </a:cubicBezTo>
                <a:cubicBezTo>
                  <a:pt x="197430" y="-5831"/>
                  <a:pt x="311731" y="48144"/>
                  <a:pt x="357768" y="48144"/>
                </a:cubicBezTo>
                <a:cubicBezTo>
                  <a:pt x="403805" y="48144"/>
                  <a:pt x="397456" y="2106"/>
                  <a:pt x="414918" y="519"/>
                </a:cubicBezTo>
                <a:cubicBezTo>
                  <a:pt x="432380" y="-1068"/>
                  <a:pt x="460956" y="19569"/>
                  <a:pt x="462543" y="38619"/>
                </a:cubicBezTo>
                <a:cubicBezTo>
                  <a:pt x="464130" y="57669"/>
                  <a:pt x="441905" y="97357"/>
                  <a:pt x="424443" y="114819"/>
                </a:cubicBezTo>
                <a:cubicBezTo>
                  <a:pt x="406981" y="132281"/>
                  <a:pt x="403805" y="146569"/>
                  <a:pt x="357768" y="143394"/>
                </a:cubicBezTo>
                <a:cubicBezTo>
                  <a:pt x="311731" y="140219"/>
                  <a:pt x="205368" y="100532"/>
                  <a:pt x="148218" y="95769"/>
                </a:cubicBezTo>
                <a:cubicBezTo>
                  <a:pt x="91068" y="91007"/>
                  <a:pt x="35506" y="149744"/>
                  <a:pt x="5343" y="86244"/>
                </a:cubicBezTo>
                <a:close/>
              </a:path>
            </a:pathLst>
          </a:custGeom>
          <a:solidFill>
            <a:srgbClr val="FFFF00"/>
          </a:solidFill>
          <a:ln w="158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24" name="Freeform 23"/>
          <xdr:cNvSpPr/>
        </xdr:nvSpPr>
        <xdr:spPr>
          <a:xfrm>
            <a:off x="1112796" y="1727235"/>
            <a:ext cx="392157" cy="129473"/>
          </a:xfrm>
          <a:custGeom>
            <a:avLst/>
            <a:gdLst>
              <a:gd name="connsiteX0" fmla="*/ 24 w 457304"/>
              <a:gd name="connsiteY0" fmla="*/ 86244 h 143838"/>
              <a:gd name="connsiteX1" fmla="*/ 133374 w 457304"/>
              <a:gd name="connsiteY1" fmla="*/ 519 h 143838"/>
              <a:gd name="connsiteX2" fmla="*/ 352449 w 457304"/>
              <a:gd name="connsiteY2" fmla="*/ 48144 h 143838"/>
              <a:gd name="connsiteX3" fmla="*/ 409599 w 457304"/>
              <a:gd name="connsiteY3" fmla="*/ 519 h 143838"/>
              <a:gd name="connsiteX4" fmla="*/ 457224 w 457304"/>
              <a:gd name="connsiteY4" fmla="*/ 38619 h 143838"/>
              <a:gd name="connsiteX5" fmla="*/ 419124 w 457304"/>
              <a:gd name="connsiteY5" fmla="*/ 114819 h 143838"/>
              <a:gd name="connsiteX6" fmla="*/ 352449 w 457304"/>
              <a:gd name="connsiteY6" fmla="*/ 143394 h 143838"/>
              <a:gd name="connsiteX7" fmla="*/ 142899 w 457304"/>
              <a:gd name="connsiteY7" fmla="*/ 95769 h 143838"/>
              <a:gd name="connsiteX8" fmla="*/ 24 w 457304"/>
              <a:gd name="connsiteY8" fmla="*/ 86244 h 143838"/>
              <a:gd name="connsiteX0" fmla="*/ 5343 w 462623"/>
              <a:gd name="connsiteY0" fmla="*/ 86244 h 143838"/>
              <a:gd name="connsiteX1" fmla="*/ 138693 w 462623"/>
              <a:gd name="connsiteY1" fmla="*/ 519 h 143838"/>
              <a:gd name="connsiteX2" fmla="*/ 357768 w 462623"/>
              <a:gd name="connsiteY2" fmla="*/ 48144 h 143838"/>
              <a:gd name="connsiteX3" fmla="*/ 414918 w 462623"/>
              <a:gd name="connsiteY3" fmla="*/ 519 h 143838"/>
              <a:gd name="connsiteX4" fmla="*/ 462543 w 462623"/>
              <a:gd name="connsiteY4" fmla="*/ 38619 h 143838"/>
              <a:gd name="connsiteX5" fmla="*/ 424443 w 462623"/>
              <a:gd name="connsiteY5" fmla="*/ 114819 h 143838"/>
              <a:gd name="connsiteX6" fmla="*/ 357768 w 462623"/>
              <a:gd name="connsiteY6" fmla="*/ 143394 h 143838"/>
              <a:gd name="connsiteX7" fmla="*/ 148218 w 462623"/>
              <a:gd name="connsiteY7" fmla="*/ 95769 h 143838"/>
              <a:gd name="connsiteX8" fmla="*/ 5343 w 462623"/>
              <a:gd name="connsiteY8" fmla="*/ 86244 h 14383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462623" h="143838">
                <a:moveTo>
                  <a:pt x="5343" y="86244"/>
                </a:moveTo>
                <a:cubicBezTo>
                  <a:pt x="-24820" y="22744"/>
                  <a:pt x="79956" y="6869"/>
                  <a:pt x="138693" y="519"/>
                </a:cubicBezTo>
                <a:cubicBezTo>
                  <a:pt x="197430" y="-5831"/>
                  <a:pt x="311731" y="48144"/>
                  <a:pt x="357768" y="48144"/>
                </a:cubicBezTo>
                <a:cubicBezTo>
                  <a:pt x="403805" y="48144"/>
                  <a:pt x="397456" y="2106"/>
                  <a:pt x="414918" y="519"/>
                </a:cubicBezTo>
                <a:cubicBezTo>
                  <a:pt x="432380" y="-1068"/>
                  <a:pt x="460956" y="19569"/>
                  <a:pt x="462543" y="38619"/>
                </a:cubicBezTo>
                <a:cubicBezTo>
                  <a:pt x="464130" y="57669"/>
                  <a:pt x="441905" y="97357"/>
                  <a:pt x="424443" y="114819"/>
                </a:cubicBezTo>
                <a:cubicBezTo>
                  <a:pt x="406981" y="132281"/>
                  <a:pt x="403805" y="146569"/>
                  <a:pt x="357768" y="143394"/>
                </a:cubicBezTo>
                <a:cubicBezTo>
                  <a:pt x="311731" y="140219"/>
                  <a:pt x="205368" y="100532"/>
                  <a:pt x="148218" y="95769"/>
                </a:cubicBezTo>
                <a:cubicBezTo>
                  <a:pt x="91068" y="91007"/>
                  <a:pt x="35506" y="149744"/>
                  <a:pt x="5343" y="86244"/>
                </a:cubicBezTo>
                <a:close/>
              </a:path>
            </a:pathLst>
          </a:custGeom>
          <a:solidFill>
            <a:srgbClr val="FFFF00"/>
          </a:solidFill>
          <a:ln w="158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grpSp>
        <xdr:nvGrpSpPr>
          <xdr:cNvPr id="25" name="Group 24"/>
          <xdr:cNvGrpSpPr/>
        </xdr:nvGrpSpPr>
        <xdr:grpSpPr>
          <a:xfrm>
            <a:off x="714375" y="1466850"/>
            <a:ext cx="228600" cy="266700"/>
            <a:chOff x="3200400" y="2276475"/>
            <a:chExt cx="228600" cy="266700"/>
          </a:xfrm>
        </xdr:grpSpPr>
        <xdr:sp macro="" textlink="">
          <xdr:nvSpPr>
            <xdr:cNvPr id="26" name="Freeform 25"/>
            <xdr:cNvSpPr/>
          </xdr:nvSpPr>
          <xdr:spPr>
            <a:xfrm>
              <a:off x="3208646" y="2276475"/>
              <a:ext cx="92661" cy="142875"/>
            </a:xfrm>
            <a:custGeom>
              <a:avLst/>
              <a:gdLst>
                <a:gd name="connsiteX0" fmla="*/ 77479 w 92661"/>
                <a:gd name="connsiteY0" fmla="*/ 0 h 142875"/>
                <a:gd name="connsiteX1" fmla="*/ 87004 w 92661"/>
                <a:gd name="connsiteY1" fmla="*/ 123825 h 142875"/>
                <a:gd name="connsiteX2" fmla="*/ 1279 w 92661"/>
                <a:gd name="connsiteY2" fmla="*/ 142875 h 14287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92661" h="142875">
                  <a:moveTo>
                    <a:pt x="77479" y="0"/>
                  </a:moveTo>
                  <a:cubicBezTo>
                    <a:pt x="88591" y="50006"/>
                    <a:pt x="99704" y="100013"/>
                    <a:pt x="87004" y="123825"/>
                  </a:cubicBezTo>
                  <a:cubicBezTo>
                    <a:pt x="74304" y="147638"/>
                    <a:pt x="-11421" y="122238"/>
                    <a:pt x="1279" y="142875"/>
                  </a:cubicBezTo>
                </a:path>
              </a:pathLst>
            </a:custGeom>
            <a:ln w="158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  <xdr:sp macro="" textlink="">
          <xdr:nvSpPr>
            <xdr:cNvPr id="27" name="Freeform 26"/>
            <xdr:cNvSpPr/>
          </xdr:nvSpPr>
          <xdr:spPr>
            <a:xfrm>
              <a:off x="3342217" y="2276475"/>
              <a:ext cx="77258" cy="144795"/>
            </a:xfrm>
            <a:custGeom>
              <a:avLst/>
              <a:gdLst>
                <a:gd name="connsiteX0" fmla="*/ 1058 w 77258"/>
                <a:gd name="connsiteY0" fmla="*/ 0 h 144795"/>
                <a:gd name="connsiteX1" fmla="*/ 10583 w 77258"/>
                <a:gd name="connsiteY1" fmla="*/ 133350 h 144795"/>
                <a:gd name="connsiteX2" fmla="*/ 77258 w 77258"/>
                <a:gd name="connsiteY2" fmla="*/ 133350 h 14479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77258" h="144795">
                  <a:moveTo>
                    <a:pt x="1058" y="0"/>
                  </a:moveTo>
                  <a:cubicBezTo>
                    <a:pt x="-530" y="55562"/>
                    <a:pt x="-2117" y="111125"/>
                    <a:pt x="10583" y="133350"/>
                  </a:cubicBezTo>
                  <a:cubicBezTo>
                    <a:pt x="23283" y="155575"/>
                    <a:pt x="56621" y="139700"/>
                    <a:pt x="77258" y="133350"/>
                  </a:cubicBezTo>
                </a:path>
              </a:pathLst>
            </a:custGeom>
            <a:ln w="158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  <xdr:sp macro="" textlink="">
          <xdr:nvSpPr>
            <xdr:cNvPr id="28" name="Freeform 27"/>
            <xdr:cNvSpPr/>
          </xdr:nvSpPr>
          <xdr:spPr>
            <a:xfrm>
              <a:off x="3200400" y="2451793"/>
              <a:ext cx="118955" cy="91382"/>
            </a:xfrm>
            <a:custGeom>
              <a:avLst/>
              <a:gdLst>
                <a:gd name="connsiteX0" fmla="*/ 0 w 118955"/>
                <a:gd name="connsiteY0" fmla="*/ 15182 h 91382"/>
                <a:gd name="connsiteX1" fmla="*/ 114300 w 118955"/>
                <a:gd name="connsiteY1" fmla="*/ 5657 h 91382"/>
                <a:gd name="connsiteX2" fmla="*/ 104775 w 118955"/>
                <a:gd name="connsiteY2" fmla="*/ 91382 h 9138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118955" h="91382">
                  <a:moveTo>
                    <a:pt x="0" y="15182"/>
                  </a:moveTo>
                  <a:cubicBezTo>
                    <a:pt x="48419" y="4069"/>
                    <a:pt x="96838" y="-7043"/>
                    <a:pt x="114300" y="5657"/>
                  </a:cubicBezTo>
                  <a:cubicBezTo>
                    <a:pt x="131763" y="18357"/>
                    <a:pt x="93663" y="73920"/>
                    <a:pt x="104775" y="91382"/>
                  </a:cubicBezTo>
                </a:path>
              </a:pathLst>
            </a:custGeom>
            <a:ln w="158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  <xdr:sp macro="" textlink="">
          <xdr:nvSpPr>
            <xdr:cNvPr id="29" name="Freeform 28"/>
            <xdr:cNvSpPr/>
          </xdr:nvSpPr>
          <xdr:spPr>
            <a:xfrm>
              <a:off x="3334817" y="2439677"/>
              <a:ext cx="94183" cy="93973"/>
            </a:xfrm>
            <a:custGeom>
              <a:avLst/>
              <a:gdLst>
                <a:gd name="connsiteX0" fmla="*/ 94183 w 94183"/>
                <a:gd name="connsiteY0" fmla="*/ 8248 h 93973"/>
                <a:gd name="connsiteX1" fmla="*/ 27508 w 94183"/>
                <a:gd name="connsiteY1" fmla="*/ 8248 h 93973"/>
                <a:gd name="connsiteX2" fmla="*/ 8458 w 94183"/>
                <a:gd name="connsiteY2" fmla="*/ 93973 h 9397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94183" h="93973">
                  <a:moveTo>
                    <a:pt x="94183" y="8248"/>
                  </a:moveTo>
                  <a:cubicBezTo>
                    <a:pt x="67989" y="1104"/>
                    <a:pt x="41795" y="-6039"/>
                    <a:pt x="27508" y="8248"/>
                  </a:cubicBezTo>
                  <a:cubicBezTo>
                    <a:pt x="13221" y="22535"/>
                    <a:pt x="-13767" y="65398"/>
                    <a:pt x="8458" y="93973"/>
                  </a:cubicBezTo>
                </a:path>
              </a:pathLst>
            </a:custGeom>
            <a:ln w="158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</xdr:grp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"/>
  <sheetViews>
    <sheetView tabSelected="1" workbookViewId="0">
      <selection activeCell="C9" sqref="C9"/>
    </sheetView>
  </sheetViews>
  <sheetFormatPr defaultRowHeight="15"/>
  <cols>
    <col min="1" max="16384" width="9.140625" style="5"/>
  </cols>
  <sheetData>
    <row r="1" spans="1:9" ht="23.25">
      <c r="A1" s="1" t="s">
        <v>0</v>
      </c>
      <c r="B1" s="2"/>
      <c r="C1" s="2"/>
      <c r="D1" s="2"/>
      <c r="E1" s="2"/>
      <c r="F1" s="2"/>
      <c r="G1" s="2"/>
      <c r="H1" s="2"/>
      <c r="I1" s="2"/>
    </row>
    <row r="2" spans="1:9" ht="15.75">
      <c r="A2" s="2"/>
      <c r="B2" s="2"/>
      <c r="C2" s="2"/>
      <c r="D2" s="2"/>
      <c r="E2" s="2"/>
      <c r="F2" s="2"/>
      <c r="G2" s="2"/>
      <c r="H2" s="2"/>
      <c r="I2" s="2"/>
    </row>
    <row r="3" spans="1:9" ht="15.75">
      <c r="A3" s="2" t="s">
        <v>1</v>
      </c>
      <c r="B3" s="2"/>
      <c r="C3" s="2"/>
      <c r="D3" s="2"/>
      <c r="E3" s="2"/>
      <c r="F3" s="2"/>
      <c r="G3" s="2"/>
      <c r="H3" s="2"/>
      <c r="I3" s="2"/>
    </row>
    <row r="4" spans="1:9" ht="15.75">
      <c r="A4" s="2"/>
      <c r="B4" s="2"/>
      <c r="C4" s="2"/>
      <c r="D4" s="2"/>
      <c r="E4" s="2"/>
      <c r="F4" s="2"/>
      <c r="G4" s="2"/>
      <c r="H4" s="2"/>
      <c r="I4" s="2"/>
    </row>
    <row r="5" spans="1:9" ht="15.75">
      <c r="A5" s="3" t="s">
        <v>2</v>
      </c>
      <c r="B5" s="4">
        <v>40</v>
      </c>
      <c r="C5" s="2"/>
      <c r="D5" s="2"/>
      <c r="E5" s="2"/>
      <c r="F5" s="2"/>
      <c r="G5" s="2"/>
      <c r="H5" s="2"/>
      <c r="I5" s="2"/>
    </row>
    <row r="6" spans="1:9" ht="15.75">
      <c r="A6" s="3" t="s">
        <v>3</v>
      </c>
      <c r="B6" s="4">
        <v>25</v>
      </c>
      <c r="C6" s="2"/>
      <c r="D6" s="2"/>
      <c r="E6" s="2"/>
      <c r="F6" s="2"/>
      <c r="G6" s="2"/>
      <c r="H6" s="2"/>
      <c r="I6" s="2"/>
    </row>
    <row r="7" spans="1:9" ht="15.75">
      <c r="A7" s="2"/>
      <c r="B7" s="2"/>
      <c r="C7" s="2"/>
      <c r="D7" s="2"/>
      <c r="E7" s="2"/>
      <c r="F7" s="2"/>
      <c r="G7" s="2"/>
      <c r="H7" s="2"/>
      <c r="I7" s="2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02"/>
  <sheetViews>
    <sheetView workbookViewId="0"/>
  </sheetViews>
  <sheetFormatPr defaultRowHeight="15"/>
  <sheetData>
    <row r="1" spans="1:3">
      <c r="A1" t="s">
        <v>4</v>
      </c>
      <c r="B1" t="s">
        <v>5</v>
      </c>
      <c r="C1" t="s">
        <v>6</v>
      </c>
    </row>
    <row r="2" spans="1:3">
      <c r="A2">
        <v>0</v>
      </c>
      <c r="B2">
        <f>Speed*COS(RADIANS(Angle))*A2</f>
        <v>0</v>
      </c>
      <c r="C2" s="6">
        <f>Speed * SIN(RADIANS(Angle)) * A2 - 0.5 * A2 * A2</f>
        <v>0</v>
      </c>
    </row>
    <row r="3" spans="1:3">
      <c r="A3">
        <v>1</v>
      </c>
      <c r="B3">
        <f>Speed*COS(RADIANS(Angle))*A3</f>
        <v>19.151111077974452</v>
      </c>
      <c r="C3" s="6">
        <f>Speed * SIN(RADIANS(Angle)) * A3 - 0.5 * A3 * A3</f>
        <v>15.569690242163482</v>
      </c>
    </row>
    <row r="4" spans="1:3">
      <c r="A4">
        <v>2</v>
      </c>
      <c r="B4">
        <f>Speed*COS(RADIANS(Angle))*A4</f>
        <v>38.302222155948904</v>
      </c>
      <c r="C4" s="6">
        <f>Speed * SIN(RADIANS(Angle)) * A4 - 0.5 * A4 * A4</f>
        <v>30.139380484326963</v>
      </c>
    </row>
    <row r="5" spans="1:3">
      <c r="A5">
        <v>3</v>
      </c>
      <c r="B5">
        <f>Speed*COS(RADIANS(Angle))*A5</f>
        <v>57.45333323392336</v>
      </c>
      <c r="C5" s="6">
        <f>Speed * SIN(RADIANS(Angle)) * A5 - 0.5 * A5 * A5</f>
        <v>43.709070726490445</v>
      </c>
    </row>
    <row r="6" spans="1:3">
      <c r="A6">
        <v>4</v>
      </c>
      <c r="B6">
        <f>Speed*COS(RADIANS(Angle))*A6</f>
        <v>76.604444311897808</v>
      </c>
      <c r="C6" s="6">
        <f>Speed * SIN(RADIANS(Angle)) * A6 - 0.5 * A6 * A6</f>
        <v>56.278760968653927</v>
      </c>
    </row>
    <row r="7" spans="1:3">
      <c r="A7">
        <v>5</v>
      </c>
      <c r="B7">
        <f>Speed*COS(RADIANS(Angle))*A7</f>
        <v>95.755555389872256</v>
      </c>
      <c r="C7" s="6">
        <f>Speed * SIN(RADIANS(Angle)) * A7 - 0.5 * A7 * A7</f>
        <v>67.848451210817416</v>
      </c>
    </row>
    <row r="8" spans="1:3">
      <c r="A8">
        <v>6</v>
      </c>
      <c r="B8">
        <f>Speed*COS(RADIANS(Angle))*A8</f>
        <v>114.90666646784672</v>
      </c>
      <c r="C8" s="6">
        <f>Speed * SIN(RADIANS(Angle)) * A8 - 0.5 * A8 * A8</f>
        <v>78.41814145298089</v>
      </c>
    </row>
    <row r="9" spans="1:3">
      <c r="A9">
        <v>7</v>
      </c>
      <c r="B9">
        <f>Speed*COS(RADIANS(Angle))*A9</f>
        <v>134.05777754582115</v>
      </c>
      <c r="C9" s="6">
        <f>Speed * SIN(RADIANS(Angle)) * A9 - 0.5 * A9 * A9</f>
        <v>87.987831695144365</v>
      </c>
    </row>
    <row r="10" spans="1:3">
      <c r="A10">
        <v>8</v>
      </c>
      <c r="B10">
        <f>Speed*COS(RADIANS(Angle))*A10</f>
        <v>153.20888862379562</v>
      </c>
      <c r="C10" s="6">
        <f>Speed * SIN(RADIANS(Angle)) * A10 - 0.5 * A10 * A10</f>
        <v>96.557521937307854</v>
      </c>
    </row>
    <row r="11" spans="1:3">
      <c r="A11">
        <v>9</v>
      </c>
      <c r="B11">
        <f>Speed*COS(RADIANS(Angle))*A11</f>
        <v>172.35999970177008</v>
      </c>
      <c r="C11" s="6">
        <f>Speed * SIN(RADIANS(Angle)) * A11 - 0.5 * A11 * A11</f>
        <v>104.12721217947134</v>
      </c>
    </row>
    <row r="12" spans="1:3">
      <c r="A12">
        <v>10</v>
      </c>
      <c r="B12">
        <f>Speed*COS(RADIANS(Angle))*A12</f>
        <v>191.51111077974451</v>
      </c>
      <c r="C12" s="6">
        <f>Speed * SIN(RADIANS(Angle)) * A12 - 0.5 * A12 * A12</f>
        <v>110.69690242163483</v>
      </c>
    </row>
    <row r="13" spans="1:3">
      <c r="A13">
        <v>11</v>
      </c>
      <c r="B13">
        <f>Speed*COS(RADIANS(Angle))*A13</f>
        <v>210.66222185771898</v>
      </c>
      <c r="C13" s="6">
        <f>Speed * SIN(RADIANS(Angle)) * A13 - 0.5 * A13 * A13</f>
        <v>116.26659266379829</v>
      </c>
    </row>
    <row r="14" spans="1:3">
      <c r="A14">
        <v>12</v>
      </c>
      <c r="B14">
        <f>Speed*COS(RADIANS(Angle))*A14</f>
        <v>229.81333293569344</v>
      </c>
      <c r="C14" s="6">
        <f>Speed * SIN(RADIANS(Angle)) * A14 - 0.5 * A14 * A14</f>
        <v>120.83628290596178</v>
      </c>
    </row>
    <row r="15" spans="1:3">
      <c r="A15">
        <v>13</v>
      </c>
      <c r="B15">
        <f>Speed*COS(RADIANS(Angle))*A15</f>
        <v>248.96444401366787</v>
      </c>
      <c r="C15" s="6">
        <f>Speed * SIN(RADIANS(Angle)) * A15 - 0.5 * A15 * A15</f>
        <v>124.40597314812527</v>
      </c>
    </row>
    <row r="16" spans="1:3">
      <c r="A16">
        <v>14</v>
      </c>
      <c r="B16">
        <f>Speed*COS(RADIANS(Angle))*A16</f>
        <v>268.11555509164231</v>
      </c>
      <c r="C16" s="6">
        <f>Speed * SIN(RADIANS(Angle)) * A16 - 0.5 * A16 * A16</f>
        <v>126.97566339028873</v>
      </c>
    </row>
    <row r="17" spans="1:3">
      <c r="A17">
        <v>15</v>
      </c>
      <c r="B17">
        <f>Speed*COS(RADIANS(Angle))*A17</f>
        <v>287.26666616961677</v>
      </c>
      <c r="C17" s="6">
        <f>Speed * SIN(RADIANS(Angle)) * A17 - 0.5 * A17 * A17</f>
        <v>128.54535363245222</v>
      </c>
    </row>
    <row r="18" spans="1:3">
      <c r="A18">
        <v>16</v>
      </c>
      <c r="B18">
        <f>Speed*COS(RADIANS(Angle))*A18</f>
        <v>306.41777724759123</v>
      </c>
      <c r="C18" s="6">
        <f>Speed * SIN(RADIANS(Angle)) * A18 - 0.5 * A18 * A18</f>
        <v>129.11504387461571</v>
      </c>
    </row>
    <row r="19" spans="1:3">
      <c r="A19">
        <v>17</v>
      </c>
      <c r="B19">
        <f>Speed*COS(RADIANS(Angle))*A19</f>
        <v>325.56888832556569</v>
      </c>
      <c r="C19" s="6">
        <f>Speed * SIN(RADIANS(Angle)) * A19 - 0.5 * A19 * A19</f>
        <v>128.68473411677917</v>
      </c>
    </row>
    <row r="20" spans="1:3">
      <c r="A20">
        <v>18</v>
      </c>
      <c r="B20">
        <f>Speed*COS(RADIANS(Angle))*A20</f>
        <v>344.71999940354016</v>
      </c>
      <c r="C20" s="6">
        <f>Speed * SIN(RADIANS(Angle)) * A20 - 0.5 * A20 * A20</f>
        <v>127.25442435894269</v>
      </c>
    </row>
    <row r="21" spans="1:3">
      <c r="A21">
        <v>19</v>
      </c>
      <c r="B21">
        <f>Speed*COS(RADIANS(Angle))*A21</f>
        <v>363.87111048151456</v>
      </c>
      <c r="C21" s="6">
        <f>Speed * SIN(RADIANS(Angle)) * A21 - 0.5 * A21 * A21</f>
        <v>124.82411460110615</v>
      </c>
    </row>
    <row r="22" spans="1:3">
      <c r="A22">
        <v>20</v>
      </c>
      <c r="B22">
        <f>Speed*COS(RADIANS(Angle))*A22</f>
        <v>383.02222155948903</v>
      </c>
      <c r="C22" s="6">
        <f>Speed * SIN(RADIANS(Angle)) * A22 - 0.5 * A22 * A22</f>
        <v>121.39380484326966</v>
      </c>
    </row>
    <row r="23" spans="1:3">
      <c r="A23">
        <v>21</v>
      </c>
      <c r="B23">
        <f>Speed*COS(RADIANS(Angle))*A23</f>
        <v>402.17333263746349</v>
      </c>
      <c r="C23" s="6">
        <f>Speed * SIN(RADIANS(Angle)) * A23 - 0.5 * A23 * A23</f>
        <v>116.96349508543312</v>
      </c>
    </row>
    <row r="24" spans="1:3">
      <c r="A24">
        <v>22</v>
      </c>
      <c r="B24">
        <f>Speed*COS(RADIANS(Angle))*A24</f>
        <v>421.32444371543795</v>
      </c>
      <c r="C24" s="6">
        <f>Speed * SIN(RADIANS(Angle)) * A24 - 0.5 * A24 * A24</f>
        <v>111.53318532759658</v>
      </c>
    </row>
    <row r="25" spans="1:3">
      <c r="A25">
        <v>23</v>
      </c>
      <c r="B25">
        <f>Speed*COS(RADIANS(Angle))*A25</f>
        <v>440.47555479341241</v>
      </c>
      <c r="C25" s="6">
        <f>Speed * SIN(RADIANS(Angle)) * A25 - 0.5 * A25 * A25</f>
        <v>105.1028755697601</v>
      </c>
    </row>
    <row r="26" spans="1:3">
      <c r="A26">
        <v>24</v>
      </c>
      <c r="B26">
        <f>Speed*COS(RADIANS(Angle))*A26</f>
        <v>459.62666587138688</v>
      </c>
      <c r="C26" s="6">
        <f>Speed * SIN(RADIANS(Angle)) * A26 - 0.5 * A26 * A26</f>
        <v>97.672565811923562</v>
      </c>
    </row>
    <row r="27" spans="1:3">
      <c r="A27">
        <v>25</v>
      </c>
      <c r="B27">
        <f>Speed*COS(RADIANS(Angle))*A27</f>
        <v>478.77777694936128</v>
      </c>
      <c r="C27" s="6">
        <f>Speed * SIN(RADIANS(Angle)) * A27 - 0.5 * A27 * A27</f>
        <v>89.242256054087022</v>
      </c>
    </row>
    <row r="28" spans="1:3">
      <c r="A28">
        <v>26</v>
      </c>
      <c r="B28">
        <f>Speed*COS(RADIANS(Angle))*A28</f>
        <v>497.92888802733574</v>
      </c>
      <c r="C28" s="6">
        <f>Speed * SIN(RADIANS(Angle)) * A28 - 0.5 * A28 * A28</f>
        <v>79.811946296250539</v>
      </c>
    </row>
    <row r="29" spans="1:3">
      <c r="A29">
        <v>27</v>
      </c>
      <c r="B29">
        <f>Speed*COS(RADIANS(Angle))*A29</f>
        <v>517.07999910531021</v>
      </c>
      <c r="C29" s="6">
        <f>Speed * SIN(RADIANS(Angle)) * A29 - 0.5 * A29 * A29</f>
        <v>69.381636538414</v>
      </c>
    </row>
    <row r="30" spans="1:3">
      <c r="A30">
        <v>28</v>
      </c>
      <c r="B30">
        <f>Speed*COS(RADIANS(Angle))*A30</f>
        <v>536.23111018328461</v>
      </c>
      <c r="C30" s="6">
        <f>Speed * SIN(RADIANS(Angle)) * A30 - 0.5 * A30 * A30</f>
        <v>57.95132678057746</v>
      </c>
    </row>
    <row r="31" spans="1:3">
      <c r="A31">
        <v>29</v>
      </c>
      <c r="B31">
        <f>Speed*COS(RADIANS(Angle))*A31</f>
        <v>555.38222126125913</v>
      </c>
      <c r="C31" s="6">
        <f>Speed * SIN(RADIANS(Angle)) * A31 - 0.5 * A31 * A31</f>
        <v>45.521017022740978</v>
      </c>
    </row>
    <row r="32" spans="1:3">
      <c r="A32">
        <v>30</v>
      </c>
      <c r="B32">
        <f>Speed*COS(RADIANS(Angle))*A32</f>
        <v>574.53333233923354</v>
      </c>
      <c r="C32" s="6">
        <f>Speed * SIN(RADIANS(Angle)) * A32 - 0.5 * A32 * A32</f>
        <v>32.090707264904438</v>
      </c>
    </row>
    <row r="33" spans="1:3">
      <c r="A33">
        <v>31</v>
      </c>
      <c r="B33">
        <f>Speed*COS(RADIANS(Angle))*A33</f>
        <v>593.68444341720806</v>
      </c>
      <c r="C33" s="6">
        <f>Speed * SIN(RADIANS(Angle)) * A33 - 0.5 * A33 * A33</f>
        <v>17.660397507067955</v>
      </c>
    </row>
    <row r="34" spans="1:3">
      <c r="A34">
        <v>32</v>
      </c>
      <c r="B34">
        <f>Speed*COS(RADIANS(Angle))*A34</f>
        <v>612.83555449518246</v>
      </c>
      <c r="C34" s="6">
        <f>Speed * SIN(RADIANS(Angle)) * A34 - 0.5 * A34 * A34</f>
        <v>2.2300877492314157</v>
      </c>
    </row>
    <row r="35" spans="1:3">
      <c r="A35">
        <v>33</v>
      </c>
      <c r="B35">
        <f>Speed*COS(RADIANS(Angle))*A35</f>
        <v>631.98666557315687</v>
      </c>
      <c r="C35" s="6">
        <f>Speed * SIN(RADIANS(Angle)) * A35 - 0.5 * A35 * A35</f>
        <v>-14.200222008605124</v>
      </c>
    </row>
    <row r="36" spans="1:3">
      <c r="A36">
        <v>34</v>
      </c>
      <c r="B36">
        <f>Speed*COS(RADIANS(Angle))*A36</f>
        <v>651.13777665113139</v>
      </c>
      <c r="C36" s="6">
        <f>Speed * SIN(RADIANS(Angle)) * A36 - 0.5 * A36 * A36</f>
        <v>-31.630531766441663</v>
      </c>
    </row>
    <row r="37" spans="1:3">
      <c r="A37">
        <v>35</v>
      </c>
      <c r="B37">
        <f>Speed*COS(RADIANS(Angle))*A37</f>
        <v>670.2888877291058</v>
      </c>
      <c r="C37" s="6">
        <f>Speed * SIN(RADIANS(Angle)) * A37 - 0.5 * A37 * A37</f>
        <v>-50.060841524278089</v>
      </c>
    </row>
    <row r="38" spans="1:3">
      <c r="A38">
        <v>36</v>
      </c>
      <c r="B38">
        <f>Speed*COS(RADIANS(Angle))*A38</f>
        <v>689.43999880708031</v>
      </c>
      <c r="C38" s="6">
        <f>Speed * SIN(RADIANS(Angle)) * A38 - 0.5 * A38 * A38</f>
        <v>-69.491151282114629</v>
      </c>
    </row>
    <row r="39" spans="1:3">
      <c r="A39">
        <v>37</v>
      </c>
      <c r="B39">
        <f>Speed*COS(RADIANS(Angle))*A39</f>
        <v>708.59110988505472</v>
      </c>
      <c r="C39" s="6">
        <f>Speed * SIN(RADIANS(Angle)) * A39 - 0.5 * A39 * A39</f>
        <v>-89.921461039951168</v>
      </c>
    </row>
    <row r="40" spans="1:3">
      <c r="A40">
        <v>38</v>
      </c>
      <c r="B40">
        <f>Speed*COS(RADIANS(Angle))*A40</f>
        <v>727.74222096302913</v>
      </c>
      <c r="C40" s="6">
        <f>Speed * SIN(RADIANS(Angle)) * A40 - 0.5 * A40 * A40</f>
        <v>-111.35177079778771</v>
      </c>
    </row>
    <row r="41" spans="1:3">
      <c r="A41">
        <v>39</v>
      </c>
      <c r="B41">
        <f>Speed*COS(RADIANS(Angle))*A41</f>
        <v>746.89333204100365</v>
      </c>
      <c r="C41" s="6">
        <f>Speed * SIN(RADIANS(Angle)) * A41 - 0.5 * A41 * A41</f>
        <v>-133.78208055562425</v>
      </c>
    </row>
    <row r="42" spans="1:3">
      <c r="A42">
        <v>40</v>
      </c>
      <c r="B42">
        <f>Speed*COS(RADIANS(Angle))*A42</f>
        <v>766.04444311897805</v>
      </c>
      <c r="C42" s="6">
        <f>Speed * SIN(RADIANS(Angle)) * A42 - 0.5 * A42 * A42</f>
        <v>-157.21239031346067</v>
      </c>
    </row>
    <row r="43" spans="1:3">
      <c r="A43">
        <v>41</v>
      </c>
      <c r="B43">
        <f>Speed*COS(RADIANS(Angle))*A43</f>
        <v>785.19555419695257</v>
      </c>
      <c r="C43" s="6">
        <f>Speed * SIN(RADIANS(Angle)) * A43 - 0.5 * A43 * A43</f>
        <v>-181.64270007129721</v>
      </c>
    </row>
    <row r="44" spans="1:3">
      <c r="A44">
        <v>42</v>
      </c>
      <c r="B44">
        <f>Speed*COS(RADIANS(Angle))*A44</f>
        <v>804.34666527492698</v>
      </c>
      <c r="C44" s="6">
        <f>Speed * SIN(RADIANS(Angle)) * A44 - 0.5 * A44 * A44</f>
        <v>-207.07300982913375</v>
      </c>
    </row>
    <row r="45" spans="1:3">
      <c r="A45">
        <v>43</v>
      </c>
      <c r="B45">
        <f>Speed*COS(RADIANS(Angle))*A45</f>
        <v>823.49777635290138</v>
      </c>
      <c r="C45" s="6">
        <f>Speed * SIN(RADIANS(Angle)) * A45 - 0.5 * A45 * A45</f>
        <v>-233.50331958697029</v>
      </c>
    </row>
    <row r="46" spans="1:3">
      <c r="A46">
        <v>44</v>
      </c>
      <c r="B46">
        <f>Speed*COS(RADIANS(Angle))*A46</f>
        <v>842.6488874308759</v>
      </c>
      <c r="C46" s="6">
        <f>Speed * SIN(RADIANS(Angle)) * A46 - 0.5 * A46 * A46</f>
        <v>-260.93362934480683</v>
      </c>
    </row>
    <row r="47" spans="1:3">
      <c r="A47">
        <v>45</v>
      </c>
      <c r="B47">
        <f>Speed*COS(RADIANS(Angle))*A47</f>
        <v>861.79999850885031</v>
      </c>
      <c r="C47" s="6">
        <f>Speed * SIN(RADIANS(Angle)) * A47 - 0.5 * A47 * A47</f>
        <v>-289.36393910264337</v>
      </c>
    </row>
    <row r="48" spans="1:3">
      <c r="A48">
        <v>46</v>
      </c>
      <c r="B48">
        <f>Speed*COS(RADIANS(Angle))*A48</f>
        <v>880.95110958682483</v>
      </c>
      <c r="C48" s="6">
        <f>Speed * SIN(RADIANS(Angle)) * A48 - 0.5 * A48 * A48</f>
        <v>-318.7942488604798</v>
      </c>
    </row>
    <row r="49" spans="1:3">
      <c r="A49">
        <v>47</v>
      </c>
      <c r="B49">
        <f>Speed*COS(RADIANS(Angle))*A49</f>
        <v>900.10222066479923</v>
      </c>
      <c r="C49" s="6">
        <f>Speed * SIN(RADIANS(Angle)) * A49 - 0.5 * A49 * A49</f>
        <v>-349.22455861831634</v>
      </c>
    </row>
    <row r="50" spans="1:3">
      <c r="A50">
        <v>48</v>
      </c>
      <c r="B50">
        <f>Speed*COS(RADIANS(Angle))*A50</f>
        <v>919.25333174277375</v>
      </c>
      <c r="C50" s="6">
        <f>Speed * SIN(RADIANS(Angle)) * A50 - 0.5 * A50 * A50</f>
        <v>-380.65486837615288</v>
      </c>
    </row>
    <row r="51" spans="1:3">
      <c r="A51">
        <v>49</v>
      </c>
      <c r="B51">
        <f>Speed*COS(RADIANS(Angle))*A51</f>
        <v>938.40444282074816</v>
      </c>
      <c r="C51" s="6">
        <f>Speed * SIN(RADIANS(Angle)) * A51 - 0.5 * A51 * A51</f>
        <v>-413.08517813398942</v>
      </c>
    </row>
    <row r="52" spans="1:3">
      <c r="A52">
        <v>50</v>
      </c>
      <c r="B52">
        <f>Speed*COS(RADIANS(Angle))*A52</f>
        <v>957.55555389872256</v>
      </c>
      <c r="C52" s="6">
        <f>Speed * SIN(RADIANS(Angle)) * A52 - 0.5 * A52 * A52</f>
        <v>-446.51548789182596</v>
      </c>
    </row>
    <row r="53" spans="1:3">
      <c r="A53">
        <v>51</v>
      </c>
      <c r="B53">
        <f>Speed*COS(RADIANS(Angle))*A53</f>
        <v>976.70666497669708</v>
      </c>
      <c r="C53" s="6">
        <f>Speed * SIN(RADIANS(Angle)) * A53 - 0.5 * A53 * A53</f>
        <v>-480.94579764966238</v>
      </c>
    </row>
    <row r="54" spans="1:3">
      <c r="A54">
        <v>52</v>
      </c>
      <c r="B54">
        <f>Speed*COS(RADIANS(Angle))*A54</f>
        <v>995.85777605467149</v>
      </c>
      <c r="C54" s="6">
        <f>Speed * SIN(RADIANS(Angle)) * A54 - 0.5 * A54 * A54</f>
        <v>-516.37610740749892</v>
      </c>
    </row>
    <row r="55" spans="1:3">
      <c r="A55">
        <v>53</v>
      </c>
      <c r="B55">
        <f>Speed*COS(RADIANS(Angle))*A55</f>
        <v>1015.008887132646</v>
      </c>
      <c r="C55" s="6">
        <f>Speed * SIN(RADIANS(Angle)) * A55 - 0.5 * A55 * A55</f>
        <v>-552.80641716533546</v>
      </c>
    </row>
    <row r="56" spans="1:3">
      <c r="A56">
        <v>54</v>
      </c>
      <c r="B56">
        <f>Speed*COS(RADIANS(Angle))*A56</f>
        <v>1034.1599982106204</v>
      </c>
      <c r="C56" s="6">
        <f>Speed * SIN(RADIANS(Angle)) * A56 - 0.5 * A56 * A56</f>
        <v>-590.236726923172</v>
      </c>
    </row>
    <row r="57" spans="1:3">
      <c r="A57">
        <v>55</v>
      </c>
      <c r="B57">
        <f>Speed*COS(RADIANS(Angle))*A57</f>
        <v>1053.3111092885949</v>
      </c>
      <c r="C57" s="6">
        <f>Speed * SIN(RADIANS(Angle)) * A57 - 0.5 * A57 * A57</f>
        <v>-628.66703668100854</v>
      </c>
    </row>
    <row r="58" spans="1:3">
      <c r="A58">
        <v>56</v>
      </c>
      <c r="B58">
        <f>Speed*COS(RADIANS(Angle))*A58</f>
        <v>1072.4622203665692</v>
      </c>
      <c r="C58" s="6">
        <f>Speed * SIN(RADIANS(Angle)) * A58 - 0.5 * A58 * A58</f>
        <v>-668.09734643884508</v>
      </c>
    </row>
    <row r="59" spans="1:3">
      <c r="A59">
        <v>57</v>
      </c>
      <c r="B59">
        <f>Speed*COS(RADIANS(Angle))*A59</f>
        <v>1091.6133314445437</v>
      </c>
      <c r="C59" s="6">
        <f>Speed * SIN(RADIANS(Angle)) * A59 - 0.5 * A59 * A59</f>
        <v>-708.52765619668151</v>
      </c>
    </row>
    <row r="60" spans="1:3">
      <c r="A60">
        <v>58</v>
      </c>
      <c r="B60">
        <f>Speed*COS(RADIANS(Angle))*A60</f>
        <v>1110.7644425225183</v>
      </c>
      <c r="C60" s="6">
        <f>Speed * SIN(RADIANS(Angle)) * A60 - 0.5 * A60 * A60</f>
        <v>-749.95796595451804</v>
      </c>
    </row>
    <row r="61" spans="1:3">
      <c r="A61">
        <v>59</v>
      </c>
      <c r="B61">
        <f>Speed*COS(RADIANS(Angle))*A61</f>
        <v>1129.9155536004926</v>
      </c>
      <c r="C61" s="6">
        <f>Speed * SIN(RADIANS(Angle)) * A61 - 0.5 * A61 * A61</f>
        <v>-792.38827571235458</v>
      </c>
    </row>
    <row r="62" spans="1:3">
      <c r="A62">
        <v>60</v>
      </c>
      <c r="B62">
        <f>Speed*COS(RADIANS(Angle))*A62</f>
        <v>1149.0666646784671</v>
      </c>
      <c r="C62" s="6">
        <f>Speed * SIN(RADIANS(Angle)) * A62 - 0.5 * A62 * A62</f>
        <v>-835.81858547019112</v>
      </c>
    </row>
    <row r="63" spans="1:3">
      <c r="A63">
        <v>61</v>
      </c>
      <c r="B63">
        <f>Speed*COS(RADIANS(Angle))*A63</f>
        <v>1168.2177757564416</v>
      </c>
      <c r="C63" s="6">
        <f>Speed * SIN(RADIANS(Angle)) * A63 - 0.5 * A63 * A63</f>
        <v>-880.24889522802766</v>
      </c>
    </row>
    <row r="64" spans="1:3">
      <c r="A64">
        <v>62</v>
      </c>
      <c r="B64">
        <f>Speed*COS(RADIANS(Angle))*A64</f>
        <v>1187.3688868344161</v>
      </c>
      <c r="C64" s="6">
        <f>Speed * SIN(RADIANS(Angle)) * A64 - 0.5 * A64 * A64</f>
        <v>-925.67920498586409</v>
      </c>
    </row>
    <row r="65" spans="1:3">
      <c r="A65">
        <v>63</v>
      </c>
      <c r="B65">
        <f>Speed*COS(RADIANS(Angle))*A65</f>
        <v>1206.5199979123904</v>
      </c>
      <c r="C65" s="6">
        <f>Speed * SIN(RADIANS(Angle)) * A65 - 0.5 * A65 * A65</f>
        <v>-972.10951474370063</v>
      </c>
    </row>
    <row r="66" spans="1:3">
      <c r="A66">
        <v>64</v>
      </c>
      <c r="B66">
        <f>Speed*COS(RADIANS(Angle))*A66</f>
        <v>1225.6711089903649</v>
      </c>
      <c r="C66" s="6">
        <f>Speed * SIN(RADIANS(Angle)) * A66 - 0.5 * A66 * A66</f>
        <v>-1019.5398245015372</v>
      </c>
    </row>
    <row r="67" spans="1:3">
      <c r="A67">
        <v>65</v>
      </c>
      <c r="B67">
        <f>Speed*COS(RADIANS(Angle))*A67</f>
        <v>1244.8222200683394</v>
      </c>
      <c r="C67" s="6">
        <f>Speed * SIN(RADIANS(Angle)) * A67 - 0.5 * A67 * A67</f>
        <v>-1067.9701342593737</v>
      </c>
    </row>
    <row r="68" spans="1:3">
      <c r="A68">
        <v>66</v>
      </c>
      <c r="B68">
        <f>Speed*COS(RADIANS(Angle))*A68</f>
        <v>1263.9733311463137</v>
      </c>
      <c r="C68" s="6">
        <f>Speed * SIN(RADIANS(Angle)) * A68 - 0.5 * A68 * A68</f>
        <v>-1117.4004440172102</v>
      </c>
    </row>
    <row r="69" spans="1:3">
      <c r="A69">
        <v>67</v>
      </c>
      <c r="B69">
        <f>Speed*COS(RADIANS(Angle))*A69</f>
        <v>1283.1244422242883</v>
      </c>
      <c r="C69" s="6">
        <f>Speed * SIN(RADIANS(Angle)) * A69 - 0.5 * A69 * A69</f>
        <v>-1167.8307537750468</v>
      </c>
    </row>
    <row r="70" spans="1:3">
      <c r="A70">
        <v>68</v>
      </c>
      <c r="B70">
        <f>Speed*COS(RADIANS(Angle))*A70</f>
        <v>1302.2755533022628</v>
      </c>
      <c r="C70" s="6">
        <f>Speed * SIN(RADIANS(Angle)) * A70 - 0.5 * A70 * A70</f>
        <v>-1219.2610635328833</v>
      </c>
    </row>
    <row r="71" spans="1:3">
      <c r="A71">
        <v>69</v>
      </c>
      <c r="B71">
        <f>Speed*COS(RADIANS(Angle))*A71</f>
        <v>1321.4266643802373</v>
      </c>
      <c r="C71" s="6">
        <f>Speed * SIN(RADIANS(Angle)) * A71 - 0.5 * A71 * A71</f>
        <v>-1271.6913732907199</v>
      </c>
    </row>
    <row r="72" spans="1:3">
      <c r="A72">
        <v>70</v>
      </c>
      <c r="B72">
        <f>Speed*COS(RADIANS(Angle))*A72</f>
        <v>1340.5777754582116</v>
      </c>
      <c r="C72" s="6">
        <f>Speed * SIN(RADIANS(Angle)) * A72 - 0.5 * A72 * A72</f>
        <v>-1325.1216830485562</v>
      </c>
    </row>
    <row r="73" spans="1:3">
      <c r="A73">
        <v>71</v>
      </c>
      <c r="B73">
        <f>Speed*COS(RADIANS(Angle))*A73</f>
        <v>1359.7288865361861</v>
      </c>
      <c r="C73" s="6">
        <f>Speed * SIN(RADIANS(Angle)) * A73 - 0.5 * A73 * A73</f>
        <v>-1379.5519928063927</v>
      </c>
    </row>
    <row r="74" spans="1:3">
      <c r="A74">
        <v>72</v>
      </c>
      <c r="B74">
        <f>Speed*COS(RADIANS(Angle))*A74</f>
        <v>1378.8799976141606</v>
      </c>
      <c r="C74" s="6">
        <f>Speed * SIN(RADIANS(Angle)) * A74 - 0.5 * A74 * A74</f>
        <v>-1434.9823025642293</v>
      </c>
    </row>
    <row r="75" spans="1:3">
      <c r="A75">
        <v>73</v>
      </c>
      <c r="B75">
        <f>Speed*COS(RADIANS(Angle))*A75</f>
        <v>1398.0311086921349</v>
      </c>
      <c r="C75" s="6">
        <f>Speed * SIN(RADIANS(Angle)) * A75 - 0.5 * A75 * A75</f>
        <v>-1491.4126123220658</v>
      </c>
    </row>
    <row r="76" spans="1:3">
      <c r="A76">
        <v>74</v>
      </c>
      <c r="B76">
        <f>Speed*COS(RADIANS(Angle))*A76</f>
        <v>1417.1822197701094</v>
      </c>
      <c r="C76" s="6">
        <f>Speed * SIN(RADIANS(Angle)) * A76 - 0.5 * A76 * A76</f>
        <v>-1548.8429220799023</v>
      </c>
    </row>
    <row r="77" spans="1:3">
      <c r="A77">
        <v>75</v>
      </c>
      <c r="B77">
        <f>Speed*COS(RADIANS(Angle))*A77</f>
        <v>1436.333330848084</v>
      </c>
      <c r="C77" s="6">
        <f>Speed * SIN(RADIANS(Angle)) * A77 - 0.5 * A77 * A77</f>
        <v>-1607.2732318377389</v>
      </c>
    </row>
    <row r="78" spans="1:3">
      <c r="A78">
        <v>76</v>
      </c>
      <c r="B78">
        <f>Speed*COS(RADIANS(Angle))*A78</f>
        <v>1455.4844419260583</v>
      </c>
      <c r="C78" s="6">
        <f>Speed * SIN(RADIANS(Angle)) * A78 - 0.5 * A78 * A78</f>
        <v>-1666.7035415955754</v>
      </c>
    </row>
    <row r="79" spans="1:3">
      <c r="A79">
        <v>77</v>
      </c>
      <c r="B79">
        <f>Speed*COS(RADIANS(Angle))*A79</f>
        <v>1474.6355530040328</v>
      </c>
      <c r="C79" s="6">
        <f>Speed * SIN(RADIANS(Angle)) * A79 - 0.5 * A79 * A79</f>
        <v>-1727.133851353412</v>
      </c>
    </row>
    <row r="80" spans="1:3">
      <c r="A80">
        <v>78</v>
      </c>
      <c r="B80">
        <f>Speed*COS(RADIANS(Angle))*A80</f>
        <v>1493.7866640820073</v>
      </c>
      <c r="C80" s="6">
        <f>Speed * SIN(RADIANS(Angle)) * A80 - 0.5 * A80 * A80</f>
        <v>-1788.5641611112485</v>
      </c>
    </row>
    <row r="81" spans="1:3">
      <c r="A81">
        <v>79</v>
      </c>
      <c r="B81">
        <f>Speed*COS(RADIANS(Angle))*A81</f>
        <v>1512.9377751599818</v>
      </c>
      <c r="C81" s="6">
        <f>Speed * SIN(RADIANS(Angle)) * A81 - 0.5 * A81 * A81</f>
        <v>-1850.994470869085</v>
      </c>
    </row>
    <row r="82" spans="1:3">
      <c r="A82">
        <v>80</v>
      </c>
      <c r="B82">
        <f>Speed*COS(RADIANS(Angle))*A82</f>
        <v>1532.0888862379561</v>
      </c>
      <c r="C82" s="6">
        <f>Speed * SIN(RADIANS(Angle)) * A82 - 0.5 * A82 * A82</f>
        <v>-1914.4247806269213</v>
      </c>
    </row>
    <row r="83" spans="1:3">
      <c r="A83">
        <v>81</v>
      </c>
      <c r="B83">
        <f>Speed*COS(RADIANS(Angle))*A83</f>
        <v>1551.2399973159306</v>
      </c>
      <c r="C83" s="6">
        <f>Speed * SIN(RADIANS(Angle)) * A83 - 0.5 * A83 * A83</f>
        <v>-1978.8550903847579</v>
      </c>
    </row>
    <row r="84" spans="1:3">
      <c r="A84">
        <v>82</v>
      </c>
      <c r="B84">
        <f>Speed*COS(RADIANS(Angle))*A84</f>
        <v>1570.3911083939051</v>
      </c>
      <c r="C84" s="6">
        <f>Speed * SIN(RADIANS(Angle)) * A84 - 0.5 * A84 * A84</f>
        <v>-2044.2854001425944</v>
      </c>
    </row>
    <row r="85" spans="1:3">
      <c r="A85">
        <v>83</v>
      </c>
      <c r="B85">
        <f>Speed*COS(RADIANS(Angle))*A85</f>
        <v>1589.5422194718794</v>
      </c>
      <c r="C85" s="6">
        <f>Speed * SIN(RADIANS(Angle)) * A85 - 0.5 * A85 * A85</f>
        <v>-2110.7157099004307</v>
      </c>
    </row>
    <row r="86" spans="1:3">
      <c r="A86">
        <v>84</v>
      </c>
      <c r="B86">
        <f>Speed*COS(RADIANS(Angle))*A86</f>
        <v>1608.693330549854</v>
      </c>
      <c r="C86" s="6">
        <f>Speed * SIN(RADIANS(Angle)) * A86 - 0.5 * A86 * A86</f>
        <v>-2178.1460196582675</v>
      </c>
    </row>
    <row r="87" spans="1:3">
      <c r="A87">
        <v>85</v>
      </c>
      <c r="B87">
        <f>Speed*COS(RADIANS(Angle))*A87</f>
        <v>1627.8444416278285</v>
      </c>
      <c r="C87" s="6">
        <f>Speed * SIN(RADIANS(Angle)) * A87 - 0.5 * A87 * A87</f>
        <v>-2246.5763294161043</v>
      </c>
    </row>
    <row r="88" spans="1:3">
      <c r="A88">
        <v>86</v>
      </c>
      <c r="B88">
        <f>Speed*COS(RADIANS(Angle))*A88</f>
        <v>1646.9955527058028</v>
      </c>
      <c r="C88" s="6">
        <f>Speed * SIN(RADIANS(Angle)) * A88 - 0.5 * A88 * A88</f>
        <v>-2316.0066391739406</v>
      </c>
    </row>
    <row r="89" spans="1:3">
      <c r="A89">
        <v>87</v>
      </c>
      <c r="B89">
        <f>Speed*COS(RADIANS(Angle))*A89</f>
        <v>1666.1466637837773</v>
      </c>
      <c r="C89" s="6">
        <f>Speed * SIN(RADIANS(Angle)) * A89 - 0.5 * A89 * A89</f>
        <v>-2386.4369489317769</v>
      </c>
    </row>
    <row r="90" spans="1:3">
      <c r="A90">
        <v>88</v>
      </c>
      <c r="B90">
        <f>Speed*COS(RADIANS(Angle))*A90</f>
        <v>1685.2977748617518</v>
      </c>
      <c r="C90" s="6">
        <f>Speed * SIN(RADIANS(Angle)) * A90 - 0.5 * A90 * A90</f>
        <v>-2457.8672586896137</v>
      </c>
    </row>
    <row r="91" spans="1:3">
      <c r="A91">
        <v>89</v>
      </c>
      <c r="B91">
        <f>Speed*COS(RADIANS(Angle))*A91</f>
        <v>1704.4488859397263</v>
      </c>
      <c r="C91" s="6">
        <f>Speed * SIN(RADIANS(Angle)) * A91 - 0.5 * A91 * A91</f>
        <v>-2530.2975684474504</v>
      </c>
    </row>
    <row r="92" spans="1:3">
      <c r="A92">
        <v>90</v>
      </c>
      <c r="B92">
        <f>Speed*COS(RADIANS(Angle))*A92</f>
        <v>1723.5999970177006</v>
      </c>
      <c r="C92" s="6">
        <f>Speed * SIN(RADIANS(Angle)) * A92 - 0.5 * A92 * A92</f>
        <v>-2603.7278782052867</v>
      </c>
    </row>
    <row r="93" spans="1:3">
      <c r="A93">
        <v>91</v>
      </c>
      <c r="B93">
        <f>Speed*COS(RADIANS(Angle))*A93</f>
        <v>1742.7511080956751</v>
      </c>
      <c r="C93" s="6">
        <f>Speed * SIN(RADIANS(Angle)) * A93 - 0.5 * A93 * A93</f>
        <v>-2678.1581879631231</v>
      </c>
    </row>
    <row r="94" spans="1:3">
      <c r="A94">
        <v>92</v>
      </c>
      <c r="B94">
        <f>Speed*COS(RADIANS(Angle))*A94</f>
        <v>1761.9022191736497</v>
      </c>
      <c r="C94" s="6">
        <f>Speed * SIN(RADIANS(Angle)) * A94 - 0.5 * A94 * A94</f>
        <v>-2753.5884977209598</v>
      </c>
    </row>
    <row r="95" spans="1:3">
      <c r="A95">
        <v>93</v>
      </c>
      <c r="B95">
        <f>Speed*COS(RADIANS(Angle))*A95</f>
        <v>1781.0533302516239</v>
      </c>
      <c r="C95" s="6">
        <f>Speed * SIN(RADIANS(Angle)) * A95 - 0.5 * A95 * A95</f>
        <v>-2830.0188074787961</v>
      </c>
    </row>
    <row r="96" spans="1:3">
      <c r="A96">
        <v>94</v>
      </c>
      <c r="B96">
        <f>Speed*COS(RADIANS(Angle))*A96</f>
        <v>1800.2044413295985</v>
      </c>
      <c r="C96" s="6">
        <f>Speed * SIN(RADIANS(Angle)) * A96 - 0.5 * A96 * A96</f>
        <v>-2907.4491172366324</v>
      </c>
    </row>
    <row r="97" spans="1:3">
      <c r="A97">
        <v>95</v>
      </c>
      <c r="B97">
        <f>Speed*COS(RADIANS(Angle))*A97</f>
        <v>1819.355552407573</v>
      </c>
      <c r="C97" s="6">
        <f>Speed * SIN(RADIANS(Angle)) * A97 - 0.5 * A97 * A97</f>
        <v>-2985.8794269944692</v>
      </c>
    </row>
    <row r="98" spans="1:3">
      <c r="A98">
        <v>96</v>
      </c>
      <c r="B98">
        <f>Speed*COS(RADIANS(Angle))*A98</f>
        <v>1838.5066634855475</v>
      </c>
      <c r="C98" s="6">
        <f>Speed * SIN(RADIANS(Angle)) * A98 - 0.5 * A98 * A98</f>
        <v>-3065.309736752306</v>
      </c>
    </row>
    <row r="99" spans="1:3">
      <c r="A99">
        <v>97</v>
      </c>
      <c r="B99">
        <f>Speed*COS(RADIANS(Angle))*A99</f>
        <v>1857.6577745635218</v>
      </c>
      <c r="C99" s="6">
        <f>Speed * SIN(RADIANS(Angle)) * A99 - 0.5 * A99 * A99</f>
        <v>-3145.7400465101423</v>
      </c>
    </row>
    <row r="100" spans="1:3">
      <c r="A100">
        <v>98</v>
      </c>
      <c r="B100">
        <f>Speed*COS(RADIANS(Angle))*A100</f>
        <v>1876.8088856414963</v>
      </c>
      <c r="C100" s="6">
        <f>Speed * SIN(RADIANS(Angle)) * A100 - 0.5 * A100 * A100</f>
        <v>-3227.1703562679786</v>
      </c>
    </row>
    <row r="101" spans="1:3">
      <c r="A101">
        <v>99</v>
      </c>
      <c r="B101">
        <f>Speed*COS(RADIANS(Angle))*A101</f>
        <v>1895.9599967194708</v>
      </c>
      <c r="C101" s="6">
        <f>Speed * SIN(RADIANS(Angle)) * A101 - 0.5 * A101 * A101</f>
        <v>-3309.6006660258154</v>
      </c>
    </row>
    <row r="102" spans="1:3">
      <c r="A102">
        <v>100</v>
      </c>
      <c r="B102">
        <f>Speed*COS(RADIANS(Angle))*A102</f>
        <v>1915.1111077974451</v>
      </c>
      <c r="C102" s="6">
        <f>Speed * SIN(RADIANS(Angle)) * A102 - 0.5 * A102 * A102</f>
        <v>-3393.0309757836521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C6902BFD7DA68448577824F1906A320" ma:contentTypeVersion="4" ma:contentTypeDescription="Create a new document." ma:contentTypeScope="" ma:versionID="dbd05227ca422292b603628a62dae1c0">
  <xsd:schema xmlns:xsd="http://www.w3.org/2001/XMLSchema" xmlns:xs="http://www.w3.org/2001/XMLSchema" xmlns:p="http://schemas.microsoft.com/office/2006/metadata/properties" xmlns:ns1="http://schemas.microsoft.com/sharepoint/v3" xmlns:ns3="5be063d1-b34f-4c59-b93e-a886ada21d9f" targetNamespace="http://schemas.microsoft.com/office/2006/metadata/properties" ma:root="true" ma:fieldsID="22bcb08da5c7a0d07622a67a417cb97d" ns1:_="" ns3:_="">
    <xsd:import namespace="http://schemas.microsoft.com/sharepoint/v3"/>
    <xsd:import namespace="5be063d1-b34f-4c59-b93e-a886ada21d9f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1:IMAddress" minOccurs="0"/>
                <xsd:element ref="ns3:SharingHintHash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IMAddress" ma:index="9" nillable="true" ma:displayName="IM Address" ma:internalName="IMAddress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be063d1-b34f-4c59-b93e-a886ada21d9f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0" nillable="true" ma:displayName="Sharing Hint Hash" ma:internalName="SharingHintHash" ma:readOnly="true">
      <xsd:simpleType>
        <xsd:restriction base="dms:Text"/>
      </xsd:simple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MAddres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67FADE71-9D0D-44E3-A6D9-AE0FCC0760AE}"/>
</file>

<file path=customXml/itemProps2.xml><?xml version="1.0" encoding="utf-8"?>
<ds:datastoreItem xmlns:ds="http://schemas.openxmlformats.org/officeDocument/2006/customXml" ds:itemID="{2B1A4E15-245C-47BB-AA97-8A13E3AE070E}"/>
</file>

<file path=customXml/itemProps3.xml><?xml version="1.0" encoding="utf-8"?>
<ds:datastoreItem xmlns:ds="http://schemas.openxmlformats.org/officeDocument/2006/customXml" ds:itemID="{ED5E622F-FE09-4853-B2F7-C3DC414C08F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Game</vt:lpstr>
      <vt:lpstr>Pictures</vt:lpstr>
      <vt:lpstr>Calculations</vt:lpstr>
      <vt:lpstr>Angle</vt:lpstr>
      <vt:lpstr>Speed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Gibson</dc:creator>
  <cp:lastModifiedBy>Tushar</cp:lastModifiedBy>
  <dcterms:created xsi:type="dcterms:W3CDTF">2011-08-15T04:12:03Z</dcterms:created>
  <dcterms:modified xsi:type="dcterms:W3CDTF">2015-01-12T19:50:10Z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0x010100AC6902BFD7DA68448577824F1906A320</vt:lpwstr>
  </property>
</Properties>
</file>